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EXECUTIVE\revisionate\"/>
    </mc:Choice>
  </mc:AlternateContent>
  <xr:revisionPtr revIDLastSave="0" documentId="13_ncr:1_{41986FA3-3386-4B9C-AC0D-FB0FD113C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zioni" sheetId="1" r:id="rId1"/>
    <sheet name="Scheda dettaglio" sheetId="2" r:id="rId2"/>
    <sheet name="Badge" sheetId="3" r:id="rId3"/>
    <sheet name="Scomposizione formula" sheetId="5" r:id="rId4"/>
    <sheet name="Chiamate scomposizione" sheetId="6" r:id="rId5"/>
    <sheet name="Parametri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8" i="5" l="1"/>
  <c r="D191" i="5" s="1"/>
  <c r="D192" i="5" s="1"/>
  <c r="D193" i="5" s="1"/>
  <c r="D194" i="5" s="1"/>
  <c r="H175" i="5"/>
  <c r="D184" i="5" s="1"/>
  <c r="H163" i="5"/>
  <c r="D166" i="5" s="1"/>
  <c r="H150" i="5"/>
  <c r="D156" i="5" s="1"/>
  <c r="H138" i="5"/>
  <c r="D145" i="5" s="1"/>
  <c r="C148" i="5" s="1"/>
  <c r="H126" i="5"/>
  <c r="H114" i="5"/>
  <c r="D121" i="5" s="1"/>
  <c r="H101" i="5"/>
  <c r="D110" i="5" s="1"/>
  <c r="H89" i="5"/>
  <c r="D92" i="5" s="1"/>
  <c r="D93" i="5" s="1"/>
  <c r="H76" i="5"/>
  <c r="G83" i="5" s="1"/>
  <c r="H64" i="5"/>
  <c r="G66" i="5" s="1"/>
  <c r="H52" i="5"/>
  <c r="D55" i="5" s="1"/>
  <c r="H40" i="5"/>
  <c r="H29" i="5"/>
  <c r="G34" i="5" s="1"/>
  <c r="H18" i="5"/>
  <c r="G23" i="5" s="1"/>
  <c r="H4" i="5"/>
  <c r="D7" i="5" s="1"/>
  <c r="C20" i="5" l="1"/>
  <c r="G104" i="5"/>
  <c r="D71" i="5"/>
  <c r="C74" i="5" s="1"/>
  <c r="D19" i="5"/>
  <c r="D82" i="5"/>
  <c r="G20" i="5"/>
  <c r="G176" i="5"/>
  <c r="G30" i="5"/>
  <c r="G164" i="5"/>
  <c r="G32" i="5"/>
  <c r="C66" i="5"/>
  <c r="C78" i="5"/>
  <c r="D115" i="5"/>
  <c r="G166" i="5"/>
  <c r="D177" i="5"/>
  <c r="D25" i="5"/>
  <c r="G78" i="5"/>
  <c r="G102" i="5"/>
  <c r="C116" i="5"/>
  <c r="D171" i="5"/>
  <c r="D183" i="5"/>
  <c r="C186" i="5" s="1"/>
  <c r="G116" i="5"/>
  <c r="D97" i="5"/>
  <c r="G157" i="5"/>
  <c r="G54" i="5"/>
  <c r="D103" i="5"/>
  <c r="G108" i="5"/>
  <c r="D36" i="5"/>
  <c r="G140" i="5"/>
  <c r="G152" i="5"/>
  <c r="C164" i="5"/>
  <c r="G165" i="5"/>
  <c r="G169" i="5"/>
  <c r="C92" i="5"/>
  <c r="D31" i="5"/>
  <c r="D35" i="5"/>
  <c r="C38" i="5" s="1"/>
  <c r="C90" i="5"/>
  <c r="G92" i="5"/>
  <c r="C152" i="5"/>
  <c r="D165" i="5"/>
  <c r="D168" i="5"/>
  <c r="C30" i="5"/>
  <c r="G31" i="5"/>
  <c r="D59" i="5"/>
  <c r="C62" i="5" s="1"/>
  <c r="G90" i="5"/>
  <c r="D94" i="5"/>
  <c r="D95" i="5" s="1"/>
  <c r="C102" i="5"/>
  <c r="G103" i="5"/>
  <c r="D109" i="5"/>
  <c r="C112" i="5" s="1"/>
  <c r="C178" i="5"/>
  <c r="C190" i="5"/>
  <c r="D30" i="5"/>
  <c r="C32" i="5"/>
  <c r="D91" i="5"/>
  <c r="G95" i="5"/>
  <c r="D102" i="5"/>
  <c r="C104" i="5"/>
  <c r="D164" i="5"/>
  <c r="C166" i="5"/>
  <c r="D170" i="5"/>
  <c r="C173" i="5" s="1"/>
  <c r="C176" i="5"/>
  <c r="G178" i="5"/>
  <c r="D56" i="5"/>
  <c r="D8" i="5"/>
  <c r="D9" i="5" s="1"/>
  <c r="D10" i="5" s="1"/>
  <c r="G46" i="5"/>
  <c r="G43" i="5"/>
  <c r="D42" i="5"/>
  <c r="C41" i="5"/>
  <c r="D48" i="5"/>
  <c r="D45" i="5"/>
  <c r="C43" i="5"/>
  <c r="G41" i="5"/>
  <c r="D43" i="5"/>
  <c r="D5" i="5"/>
  <c r="D41" i="5"/>
  <c r="G132" i="5"/>
  <c r="G129" i="5"/>
  <c r="D128" i="5"/>
  <c r="C127" i="5"/>
  <c r="D134" i="5"/>
  <c r="C129" i="5"/>
  <c r="G127" i="5"/>
  <c r="D129" i="5"/>
  <c r="G6" i="5"/>
  <c r="D13" i="5"/>
  <c r="C7" i="5"/>
  <c r="D127" i="5"/>
  <c r="D14" i="5"/>
  <c r="D11" i="5"/>
  <c r="G7" i="5"/>
  <c r="D6" i="5"/>
  <c r="C5" i="5"/>
  <c r="D60" i="5"/>
  <c r="D57" i="5"/>
  <c r="C55" i="5"/>
  <c r="G53" i="5"/>
  <c r="G58" i="5"/>
  <c r="G55" i="5"/>
  <c r="D54" i="5"/>
  <c r="C53" i="5"/>
  <c r="G5" i="5"/>
  <c r="C42" i="5"/>
  <c r="D53" i="5"/>
  <c r="G70" i="5"/>
  <c r="G67" i="5"/>
  <c r="D66" i="5"/>
  <c r="C65" i="5"/>
  <c r="D72" i="5"/>
  <c r="C67" i="5"/>
  <c r="G65" i="5"/>
  <c r="D67" i="5"/>
  <c r="D146" i="5"/>
  <c r="D143" i="5"/>
  <c r="C141" i="5"/>
  <c r="G139" i="5"/>
  <c r="G144" i="5"/>
  <c r="G141" i="5"/>
  <c r="D140" i="5"/>
  <c r="C139" i="5"/>
  <c r="D141" i="5"/>
  <c r="C6" i="5"/>
  <c r="G12" i="5"/>
  <c r="C21" i="5"/>
  <c r="G19" i="5"/>
  <c r="D24" i="5"/>
  <c r="G21" i="5"/>
  <c r="D20" i="5"/>
  <c r="D22" i="5" s="1"/>
  <c r="D23" i="5" s="1"/>
  <c r="C19" i="5"/>
  <c r="D21" i="5"/>
  <c r="G42" i="5"/>
  <c r="D47" i="5"/>
  <c r="C54" i="5"/>
  <c r="D65" i="5"/>
  <c r="D84" i="5"/>
  <c r="C79" i="5"/>
  <c r="G77" i="5"/>
  <c r="G79" i="5"/>
  <c r="D78" i="5"/>
  <c r="C77" i="5"/>
  <c r="D79" i="5"/>
  <c r="D85" i="5"/>
  <c r="C124" i="5"/>
  <c r="C128" i="5"/>
  <c r="D139" i="5"/>
  <c r="G153" i="5"/>
  <c r="D152" i="5"/>
  <c r="C151" i="5"/>
  <c r="D158" i="5"/>
  <c r="C153" i="5"/>
  <c r="G151" i="5"/>
  <c r="D153" i="5"/>
  <c r="D159" i="5"/>
  <c r="D77" i="5"/>
  <c r="D122" i="5"/>
  <c r="C117" i="5"/>
  <c r="G115" i="5"/>
  <c r="G120" i="5"/>
  <c r="G117" i="5"/>
  <c r="D116" i="5"/>
  <c r="C115" i="5"/>
  <c r="D117" i="5"/>
  <c r="G128" i="5"/>
  <c r="D133" i="5"/>
  <c r="C140" i="5"/>
  <c r="D151" i="5"/>
  <c r="G194" i="5"/>
  <c r="G191" i="5"/>
  <c r="D190" i="5"/>
  <c r="C189" i="5"/>
  <c r="D196" i="5"/>
  <c r="C191" i="5"/>
  <c r="G189" i="5"/>
  <c r="D195" i="5"/>
  <c r="G190" i="5"/>
  <c r="D189" i="5"/>
  <c r="C31" i="5"/>
  <c r="D32" i="5"/>
  <c r="D90" i="5"/>
  <c r="G91" i="5"/>
  <c r="D96" i="5"/>
  <c r="C103" i="5"/>
  <c r="D104" i="5"/>
  <c r="D107" i="5"/>
  <c r="C165" i="5"/>
  <c r="D176" i="5"/>
  <c r="G177" i="5"/>
  <c r="G182" i="5"/>
  <c r="C91" i="5"/>
  <c r="C177" i="5"/>
  <c r="D178" i="5"/>
  <c r="D181" i="5"/>
  <c r="D26" i="5" l="1"/>
  <c r="D33" i="5"/>
  <c r="D34" i="5" s="1"/>
  <c r="D37" i="5" s="1"/>
  <c r="D167" i="5"/>
  <c r="D169" i="5" s="1"/>
  <c r="D172" i="5" s="1"/>
  <c r="D12" i="5"/>
  <c r="D15" i="5" s="1"/>
  <c r="D142" i="5"/>
  <c r="D144" i="5" s="1"/>
  <c r="D147" i="5" s="1"/>
  <c r="D105" i="5"/>
  <c r="D106" i="5" s="1"/>
  <c r="D108" i="5" s="1"/>
  <c r="D111" i="5" s="1"/>
  <c r="C16" i="5"/>
  <c r="C198" i="5"/>
  <c r="D118" i="5"/>
  <c r="C50" i="5"/>
  <c r="D154" i="5"/>
  <c r="D155" i="5" s="1"/>
  <c r="D157" i="5" s="1"/>
  <c r="D160" i="5" s="1"/>
  <c r="D80" i="5"/>
  <c r="D81" i="5" s="1"/>
  <c r="D83" i="5" s="1"/>
  <c r="D86" i="5" s="1"/>
  <c r="C99" i="5"/>
  <c r="C87" i="5"/>
  <c r="D68" i="5"/>
  <c r="D98" i="5"/>
  <c r="D130" i="5"/>
  <c r="D44" i="5"/>
  <c r="D46" i="5" s="1"/>
  <c r="D49" i="5" s="1"/>
  <c r="D197" i="5"/>
  <c r="D58" i="5"/>
  <c r="D61" i="5" s="1"/>
  <c r="D179" i="5"/>
  <c r="D180" i="5" s="1"/>
  <c r="D182" i="5" s="1"/>
  <c r="D185" i="5" s="1"/>
  <c r="C136" i="5"/>
  <c r="C161" i="5"/>
  <c r="C27" i="5"/>
  <c r="D131" i="5" l="1"/>
  <c r="D132" i="5" s="1"/>
  <c r="D135" i="5" s="1"/>
  <c r="D69" i="5"/>
  <c r="D70" i="5" s="1"/>
  <c r="D73" i="5" s="1"/>
  <c r="D119" i="5"/>
  <c r="D120" i="5" s="1"/>
  <c r="D123" i="5" s="1"/>
</calcChain>
</file>

<file path=xl/sharedStrings.xml><?xml version="1.0" encoding="utf-8"?>
<sst xmlns="http://schemas.openxmlformats.org/spreadsheetml/2006/main" count="1619" uniqueCount="578">
  <si>
    <t>Vista Executive — D6 Capacity building e performance — componenti / chiamate RPC</t>
  </si>
  <si>
    <t>#</t>
  </si>
  <si>
    <t>Componente</t>
  </si>
  <si>
    <t>Elemento a schermo (valori mockup)</t>
  </si>
  <si>
    <t>Chiamata / id restituito</t>
  </si>
  <si>
    <t>Famiglia di scala</t>
  </si>
  <si>
    <t>Note</t>
  </si>
  <si>
    <t>F</t>
  </si>
  <si>
    <t>Barra dei filtri: Istituzione · Comparto · Regione</t>
  </si>
  <si>
    <t>assente nel mockup</t>
  </si>
  <si>
    <t>DA AGGIUNGERE</t>
  </si>
  <si>
    <t>GET /rest/v1/mv_filtri?select=chiave,codice,descrizione&amp;tipo=eq.&lt;ente|comparto|regione&gt;&amp;anno=eq.&lt;anno&gt;&amp;order=ordine,descrizione</t>
  </si>
  <si>
    <t>—</t>
  </si>
  <si>
    <t>0</t>
  </si>
  <si>
    <t>Intestazione pillar</t>
  </si>
  <si>
    <t>D6 · Capacity building e performance · Efficienza organizzativa, digitalizzazione, flessibilità e qualità dei processi</t>
  </si>
  <si>
    <t>statico</t>
  </si>
  <si>
    <t>1</t>
  </si>
  <si>
    <t>Panoramica indicatori · D6</t>
  </si>
  <si>
    <t>13 barre su un asse 0-151%, auto-scalato sul valore massimo (ISG)</t>
  </si>
  <si>
    <t>fa_ca_exec_d6_indicatori (batch, senza p_codici)</t>
  </si>
  <si>
    <t>2</t>
  </si>
  <si>
    <t>Link 'Mostra tutti'</t>
  </si>
  <si>
    <t>3</t>
  </si>
  <si>
    <t>Card TVO</t>
  </si>
  <si>
    <t>Tasso di variazione dell'organico · 0% · +0.6pp</t>
  </si>
  <si>
    <t>D6.TVO</t>
  </si>
  <si>
    <t>Variazione centrata</t>
  </si>
  <si>
    <t>4</t>
  </si>
  <si>
    <t>Card ISG</t>
  </si>
  <si>
    <t>Indice di squilibrio generazionale · 151% · +6.0pp</t>
  </si>
  <si>
    <t>D6.ISG</t>
  </si>
  <si>
    <t>Inverso non limitato</t>
  </si>
  <si>
    <t>5</t>
  </si>
  <si>
    <t>Card TEP</t>
  </si>
  <si>
    <t>Tasso di esposizione al pensionamento · 27% · +3.0pp</t>
  </si>
  <si>
    <t>D6.TEP</t>
  </si>
  <si>
    <t>Inverso [0;1]</t>
  </si>
  <si>
    <t>6</t>
  </si>
  <si>
    <t>Card IQP</t>
  </si>
  <si>
    <t>Indice qualificazione personale · 65% · +5.0pp</t>
  </si>
  <si>
    <t>D6.IQP</t>
  </si>
  <si>
    <t>Target su quota</t>
  </si>
  <si>
    <t>7</t>
  </si>
  <si>
    <t>Card IEQ</t>
  </si>
  <si>
    <t>Indice evoluzione della qualificazione · 58% · +6.0pp</t>
  </si>
  <si>
    <t>D6.IEQ</t>
  </si>
  <si>
    <t>8</t>
  </si>
  <si>
    <t>Card VQF</t>
  </si>
  <si>
    <t>Variazione quota femminile nell'organico · 57% · +2.0pp</t>
  </si>
  <si>
    <t>D6.VQF</t>
  </si>
  <si>
    <t>9</t>
  </si>
  <si>
    <t>Card IPD</t>
  </si>
  <si>
    <t>Indice di parità dirigenziale · 55% · +5.0pp</t>
  </si>
  <si>
    <t>D6.IPD</t>
  </si>
  <si>
    <t>Ottimo centrale a 1</t>
  </si>
  <si>
    <t>10</t>
  </si>
  <si>
    <t>Card TEPD</t>
  </si>
  <si>
    <t>Evoluzione della parità dirigenziale · 52% · +4.0pp</t>
  </si>
  <si>
    <t>D6.TEPD</t>
  </si>
  <si>
    <t>Progresso verso l'ottimo</t>
  </si>
  <si>
    <t>11</t>
  </si>
  <si>
    <t>Card IRG_genere</t>
  </si>
  <si>
    <t>Riequilibrio di genere nel ricambio · 99% · +7.0pp</t>
  </si>
  <si>
    <t>D6.IRG</t>
  </si>
  <si>
    <t>Rapporto centrato a 1</t>
  </si>
  <si>
    <t>12</t>
  </si>
  <si>
    <t>Card IFL</t>
  </si>
  <si>
    <t>Indice di flessibilità del lavoro · 0% · 0.0pp</t>
  </si>
  <si>
    <t>D6.IFL</t>
  </si>
  <si>
    <t>Inverso con soglia</t>
  </si>
  <si>
    <t>13</t>
  </si>
  <si>
    <t>Card TFL</t>
  </si>
  <si>
    <t>Tasso evoluzione flessibilità lavoro · 50% · 0.0pp</t>
  </si>
  <si>
    <t>D6.TFL</t>
  </si>
  <si>
    <t>Variazione centrata inversa</t>
  </si>
  <si>
    <t>14</t>
  </si>
  <si>
    <t>Card IDLA</t>
  </si>
  <si>
    <t>Indice di diffusione del lavoro agile · 45% · +7.0pp</t>
  </si>
  <si>
    <t>D6.IDLA</t>
  </si>
  <si>
    <t>15</t>
  </si>
  <si>
    <t>Card TDLA</t>
  </si>
  <si>
    <t>Tasso evoluzione del lavoro agile · 60% · +15.0pp</t>
  </si>
  <si>
    <t>D6.TDLA</t>
  </si>
  <si>
    <t>16</t>
  </si>
  <si>
    <t>Card RTG (assente nel mockup)</t>
  </si>
  <si>
    <t>D6.RTG</t>
  </si>
  <si>
    <t>17</t>
  </si>
  <si>
    <t>Card RRG (assente nel mockup)</t>
  </si>
  <si>
    <t>D6.RRG</t>
  </si>
  <si>
    <t>18</t>
  </si>
  <si>
    <t>Tacca verticale sulle barre delle card</t>
  </si>
  <si>
    <t>Segno nero per ogni indice</t>
  </si>
  <si>
    <t>19</t>
  </si>
  <si>
    <t>Freccia → sulla card</t>
  </si>
  <si>
    <t>Navigazione al dettaglio</t>
  </si>
  <si>
    <t>fa_ca_exec_d6_&lt;indice&gt;</t>
  </si>
  <si>
    <t>Scheda di dettaglio indice — D6: elementi a schermo, chiamata e campi della risposta</t>
  </si>
  <si>
    <t>Fonti: schermate di dettaglio ricevute, tracciato di fa_ca_exec_d6_indicatori_score (28 colonne, badge in coda), motore exec_calcola, regole exec_score_regole v1.1.</t>
  </si>
  <si>
    <t>Una sola chiamata per scheda alimenta tutti gli elementi: la colonna Chiamata indica il corpo e, dove serve, i codici aggiuntivi in p_codici.</t>
  </si>
  <si>
    <t>Elemento a schermo</t>
  </si>
  <si>
    <t>Esempio nel mockup</t>
  </si>
  <si>
    <t>Chiamata</t>
  </si>
  <si>
    <t>Campo della risposta</t>
  </si>
  <si>
    <t>GET /rest/v1/mv_filtri — una chiamata per menu a tendina:
?select=chiave,codice,descrizione&amp;tipo=eq.ente&amp;anno=eq.&lt;anno&gt;&amp;order=ordine,descrizione
?select=chiave,codice,descrizione&amp;tipo=eq.comparto&amp;anno=eq.&lt;anno&gt;&amp;order=ordine,descrizione
?select=chiave,codice,descrizione&amp;tipo=eq.regione&amp;anno=eq.&lt;anno&gt;&amp;order=ordine,descrizione</t>
  </si>
  <si>
    <t>chiave, codice, descrizione di mv_filtri → il codice scelto va in p_istituzione, p_comparto, p_regione delle chiamate _score</t>
  </si>
  <si>
    <t>Codice e badge del pillar</t>
  </si>
  <si>
    <t>IGF · D2</t>
  </si>
  <si>
    <t>POST fa_ca_exec_d6_indicatori_score
{"p_anno": …, istituzione/comparto/regione, "p_codici": ["&lt;indice&gt;"]}</t>
  </si>
  <si>
    <t>id (parte dopo il punto e prefisso)</t>
  </si>
  <si>
    <t>Nome su due righe</t>
  </si>
  <si>
    <t>Indice di governo strategico del fabbisogno</t>
  </si>
  <si>
    <t>nome</t>
  </si>
  <si>
    <t>Riga 'Fonte: ... · ...'</t>
  </si>
  <si>
    <t>Fonte: Conto Annuale · Dotazione organica</t>
  </si>
  <si>
    <t>Nessuna: testo statico nel frontend.</t>
  </si>
  <si>
    <t>nessuno</t>
  </si>
  <si>
    <t>STATICO</t>
  </si>
  <si>
    <t>Numero grande e gauge 'Score [0-1]'</t>
  </si>
  <si>
    <t>0,46</t>
  </si>
  <si>
    <t>POST fa_ca_exec_d6_indicatori_score
{"p_anno": …, istituzione/comparto/regione, "p_codici": ["&lt;indice&gt;"]}
Per i compositi: {"p_anno": …, istituzione/comparto/regione, "p_codici": ["&lt;indice&gt;", "&lt;componenti&gt;"]}</t>
  </si>
  <si>
    <t>score / 100</t>
  </si>
  <si>
    <t>Riquadro formula con normalizzazione</t>
  </si>
  <si>
    <t>IGF = ((IRS + IDP_Norm)/2 + PTI + IRG_Norm) / 3 · Dominio [0;1]</t>
  </si>
  <si>
    <t>formula + testo di normalizzazione + '→ codice (score / 100)'</t>
  </si>
  <si>
    <t>Scomposizione — Parte 1: calcolo dell'indice</t>
  </si>
  <si>
    <t>Personale in servizio 191.410 ...</t>
  </si>
  <si>
    <t>componente_1 / valore_1, componente_2 / valore_2, formula_con_numeri</t>
  </si>
  <si>
    <t>Scomposizione — Parte 2: normalizzazione dello score</t>
  </si>
  <si>
    <t>non presente nel mockup</t>
  </si>
  <si>
    <t>POST fa_ca_exec_d6_indicatori_score
{"p_anno": …, istituzione/comparto/regione, "p_codici": ["&lt;indice&gt;"]}
Per i compositi: {"p_anno": …, istituzione/comparto/regione, "p_codici": ["&lt;indice&gt;", "&lt;componenti&gt;"]}
Passaggi calcolati nel frontend sui campi della stessa risposta.</t>
  </si>
  <si>
    <t>soglia_score, unita_soglia, score dei componenti, score</t>
  </si>
  <si>
    <t>Riquadro Contesto</t>
  </si>
  <si>
    <t>Media ponderata di 4 sotto-indicatori su 30 enti...</t>
  </si>
  <si>
    <t>Nessuna: elemento da eliminare.</t>
  </si>
  <si>
    <t>DA ELIMINARE</t>
  </si>
  <si>
    <t>Barre dei componenti (solo compositi)</t>
  </si>
  <si>
    <t>IRS 0,80 · IDP_Norm 0,45 · PTI 0,67 · IRG_Norm 0,09</t>
  </si>
  <si>
    <t>POST fa_ca_exec_d6_indicatori_score
{"p_anno": …, istituzione/comparto/regione, "p_codici": ["&lt;indice&gt;", "&lt;componenti&gt;"]}
I componenti vanno inclusi in p_codici: le barre leggono le loro righe.</t>
  </si>
  <si>
    <t>score / 100 dei componenti, dal batch _score</t>
  </si>
  <si>
    <t>Badge di giudizio e frase</t>
  </si>
  <si>
    <t>Critico · Moderato · Buono · Eccellente · Basso · Stabile ...</t>
  </si>
  <si>
    <t>badge (frase: non restituita)</t>
  </si>
  <si>
    <t>Scheda metodologica (espandibile)</t>
  </si>
  <si>
    <t>Schede Definizione · Calcolo · Lettura · Note. IDC (D5): Definizione 'Misura la capacità dell'Ente di attivare e governare percorsi di crescita...'; Calcolo 'IDC = (DPI_Norm + ICS_Norm) / 2 · Dominio [0; 1) · Componenti ...'; Lettura 'IDC → 0 ... IDC ≈ 0,5 ... IDC → 1 ...'</t>
  </si>
  <si>
    <t>descrizione (Definizione) · formula e dominio (Calcolo) · interpretazione (Lettura) · Note: nessun campo</t>
  </si>
  <si>
    <t>Chip Interconnessioni</t>
  </si>
  <si>
    <t>D1 · D3 · D6</t>
  </si>
  <si>
    <t>interconnessioni</t>
  </si>
  <si>
    <t>Testo sotto i chip</t>
  </si>
  <si>
    <t>Indicatore composito che collega...</t>
  </si>
  <si>
    <t>Link 'Dettaglio Dx'</t>
  </si>
  <si>
    <t>→ Dettaglio D2</t>
  </si>
  <si>
    <t>Nessuna: navigazione. La panoramica usa POST fa_ca_exec_d6_indicatori_score senza p_codici.</t>
  </si>
  <si>
    <t>navigazione</t>
  </si>
  <si>
    <t>Variazione rispetto all'anno precedente</t>
  </si>
  <si>
    <t>var_score / var_anno_prec</t>
  </si>
  <si>
    <t>Trend storico dell'indice</t>
  </si>
  <si>
    <t>riquadro 'TREND STORICO · IDC' sotto la scheda metodologica, asse 0-100%</t>
  </si>
  <si>
    <t>Ciclo nel frontend:
1) anni da GET /rest/v1/mv_filtri?select=anno,codice,descrizione&amp;tipo=eq.anno&amp;order=ordine
2) per ogni anno POST fa_ca_exec_d6_indicatori_score?select=anno,id,valore,unita,score,var_score,badge
{"p_anno": &lt;anno&gt;, filtri invariati, "p_codici": ["&lt;indice&gt;"]}
3) ordinare per anno</t>
  </si>
  <si>
    <t>anno, score (asse principale); valore e unita nel tooltip; var_score per la direzione</t>
  </si>
  <si>
    <t>Chiamata per indice</t>
  </si>
  <si>
    <t>Indice</t>
  </si>
  <si>
    <t>Funzione</t>
  </si>
  <si>
    <t>Corpo della chiamata (POST)</t>
  </si>
  <si>
    <t>Righe usate</t>
  </si>
  <si>
    <t>fa_ca_exec_d6_indicatori_score</t>
  </si>
  <si>
    <t>{"p_anno": 2024, "p_istituzione": "C6144", "p_codici": ["TVO"]}</t>
  </si>
  <si>
    <t>{"p_anno": 2024, "p_istituzione": "C6144", "p_codici": ["ISG"]}</t>
  </si>
  <si>
    <t>{"p_anno": 2024, "p_istituzione": "C6144", "p_codici": ["TEP"]}</t>
  </si>
  <si>
    <t>{"p_anno": 2024, "p_istituzione": "C6144", "p_codici": ["IQP"]}</t>
  </si>
  <si>
    <t>{"p_anno": 2024, "p_istituzione": "C6144", "p_codici": ["IEQ"]}</t>
  </si>
  <si>
    <t>{"p_anno": 2024, "p_istituzione": "C6144", "p_codici": ["IPD"]}</t>
  </si>
  <si>
    <t>{"p_anno": 2024, "p_istituzione": "C6144", "p_codici": ["TEPD"]}</t>
  </si>
  <si>
    <t>{"p_anno": 2024, "p_istituzione": "C6144", "p_codici": ["VQF"]}</t>
  </si>
  <si>
    <t>{"p_anno": 2024, "p_istituzione": "C6144", "p_codici": ["IRG"]}</t>
  </si>
  <si>
    <t>{"p_anno": 2024, "p_istituzione": "C6144", "p_codici": ["RTG"]}</t>
  </si>
  <si>
    <t>{"p_anno": 2024, "p_istituzione": "C6144", "p_codici": ["RRG"]}</t>
  </si>
  <si>
    <t>{"p_anno": 2024, "p_istituzione": "C6144", "p_codici": ["IFL"]}</t>
  </si>
  <si>
    <t>{"p_anno": 2024, "p_istituzione": "C6144", "p_codici": ["TFL"]}</t>
  </si>
  <si>
    <t>{"p_anno": 2024, "p_istituzione": "C6144", "p_codici": ["IDLA"]}</t>
  </si>
  <si>
    <t>{"p_anno": 2024, "p_istituzione": "C6144", "p_codici": ["TDLA"]}</t>
  </si>
  <si>
    <t>D6.IRIC</t>
  </si>
  <si>
    <t>{"p_anno": 2024, "p_istituzione": "C6144", "p_codici": ["IRIC"]}</t>
  </si>
  <si>
    <t>Stabile</t>
  </si>
  <si>
    <t>901.313 / 624.699 = 1,44 → media ente 1,51</t>
  </si>
  <si>
    <t>Critico</t>
  </si>
  <si>
    <t>124.417 / 191.410 = 0,65</t>
  </si>
  <si>
    <t>Buono</t>
  </si>
  <si>
    <t>(65% − 59%) / 59% = +10,2% → norm. 0,58</t>
  </si>
  <si>
    <t>Moderato</t>
  </si>
  <si>
    <t>110.085 / 191.410 = 57,5%</t>
  </si>
  <si>
    <t>0,55 − 0,48 = +0,07 → norm. 0,52</t>
  </si>
  <si>
    <t>In miglioramento</t>
  </si>
  <si>
    <t>57,0% / 57,5% = 0,99</t>
  </si>
  <si>
    <t>Eccellente</t>
  </si>
  <si>
    <t>202 / 191.410 = 0,001</t>
  </si>
  <si>
    <t>Molto basso</t>
  </si>
  <si>
    <t>0,001 − 0,001 = 0 → norm. 0,50</t>
  </si>
  <si>
    <t>92.775 / 191.410 = 0,48 → media ente 0,45</t>
  </si>
  <si>
    <t>0,45 − 0,20 = +0,25 → norm. 0,60</t>
  </si>
  <si>
    <t>Forte crescita</t>
  </si>
  <si>
    <t>D6 — badge restituiti dall'API e confronto con le schermate</t>
  </si>
  <si>
    <t>Badge</t>
  </si>
  <si>
    <t>Score da</t>
  </si>
  <si>
    <t>Score fino a (escluso)</t>
  </si>
  <si>
    <t>Campo</t>
  </si>
  <si>
    <t>Basso</t>
  </si>
  <si>
    <t>badge (colonna 28)</t>
  </si>
  <si>
    <t>Ottimo a 0</t>
  </si>
  <si>
    <t>Valore (API)</t>
  </si>
  <si>
    <t>D6 — ricostruzione della formula dai risultati della chiamata API</t>
  </si>
  <si>
    <t>Parte</t>
  </si>
  <si>
    <t>Riga a video</t>
  </si>
  <si>
    <t>Campo / calcolo</t>
  </si>
  <si>
    <t>Valore nel mockup</t>
  </si>
  <si>
    <t>riga API</t>
  </si>
  <si>
    <t>Tipo</t>
  </si>
  <si>
    <t>Chiamata · riga · campo</t>
  </si>
  <si>
    <t>Espressione nel frontend (scomposizione-executive.ts)</t>
  </si>
  <si>
    <t>TVO  ·  Variazione centrata</t>
  </si>
  <si>
    <t>riga nella risposta →</t>
  </si>
  <si>
    <t>fa_ca_exec_d6_indicatori_score  {"p_anno": …, filtri…, "p_codici": ["TVO"]}</t>
  </si>
  <si>
    <t>1 · Calcolo indice</t>
  </si>
  <si>
    <t>componente_1 · valore_1</t>
  </si>
  <si>
    <t>Δ Organico (2023 − 2022) −766</t>
  </si>
  <si>
    <t>Lettura</t>
  </si>
  <si>
    <t>riga D6.TVO · valore_1 (etichetta: componente_1)</t>
  </si>
  <si>
    <t>r.valore_1</t>
  </si>
  <si>
    <t>componente_2 · valore_2</t>
  </si>
  <si>
    <t>Organico medio (191.410 + 192.176) / 2 191.793</t>
  </si>
  <si>
    <t>riga D6.TVO · valore_2 (etichetta: componente_2)</t>
  </si>
  <si>
    <t>r.valore_2</t>
  </si>
  <si>
    <t>formula · valore</t>
  </si>
  <si>
    <t>−766 / 191.793 = −0,004 (−0,4%)</t>
  </si>
  <si>
    <t>riga D6.TVO · valore (etichetta: formula; nota: formula_con_numeri)</t>
  </si>
  <si>
    <t>r.valore</t>
  </si>
  <si>
    <t>2 · Normalizzazione</t>
  </si>
  <si>
    <t>Variazione triennale TVO</t>
  </si>
  <si>
    <t>valore</t>
  </si>
  <si>
    <t>da aggiungere</t>
  </si>
  <si>
    <t>riga D6.TVO · valore (variazione triennale)</t>
  </si>
  <si>
    <t>r = ((2 + TVO) / (2 − TVO))^(1/3)</t>
  </si>
  <si>
    <t>calcolo</t>
  </si>
  <si>
    <t>Calcolo frontend</t>
  </si>
  <si>
    <t>dalla riga precedente</t>
  </si>
  <si>
    <t>Math.cbrt((2 + tvo) / (2 - tvo))</t>
  </si>
  <si>
    <t>Variazione annua equivalente 2(r − 1)/(r + 1)</t>
  </si>
  <si>
    <t>2 * (rr - 1) / (rr + 1)</t>
  </si>
  <si>
    <t>Ampiezza</t>
  </si>
  <si>
    <t>soglia_score · unita_soglia</t>
  </si>
  <si>
    <t>riga D6.TVO · soglia_score (+ unita_soglia)</t>
  </si>
  <si>
    <t>r.soglia_score</t>
  </si>
  <si>
    <t>Score TVO ricostruito</t>
  </si>
  <si>
    <t>calcolo dalle righe sopra</t>
  </si>
  <si>
    <t>— controllo interno, non a video</t>
  </si>
  <si>
    <t>passi della Parte 2</t>
  </si>
  <si>
    <t>scoreDaUtilita(u) // max(1, round(100·u)) / 100</t>
  </si>
  <si>
    <t>Numero grande</t>
  </si>
  <si>
    <t>Score TVO restituito dall'API</t>
  </si>
  <si>
    <t>−0,00  (oggi è il valore, non lo score)</t>
  </si>
  <si>
    <t>È il valore del numero grande e della vista executive.</t>
  </si>
  <si>
    <t>riga D6.TVO · score / 100</t>
  </si>
  <si>
    <t>r.score / 100   // NUMERO GRANDE e vista executive</t>
  </si>
  <si>
    <t>Badge TVO restituito dall'API</t>
  </si>
  <si>
    <t>badge</t>
  </si>
  <si>
    <t>Da lk_intervalli_badge sullo score: Basso &lt;25, Moderato &lt;50, Buono &lt;75, Eccellente.</t>
  </si>
  <si>
    <t>riga D6.TVO · badge</t>
  </si>
  <si>
    <t>r.badge   // Basso · Moderato · Buono · Eccellente</t>
  </si>
  <si>
    <t>Verifica</t>
  </si>
  <si>
    <t>Ricostruzione = API?</t>
  </si>
  <si>
    <t>Atteso OK.</t>
  </si>
  <si>
    <t>confronto delle due righe precedenti</t>
  </si>
  <si>
    <t>Math.abs(scoreRicostruito - scoreApi) &lt; 0.005</t>
  </si>
  <si>
    <t>Riquadro formula</t>
  </si>
  <si>
    <t>TVO = (Organico_t − Organico_{t-1}) / Media(Organico_t, Organico_{t-1})</t>
  </si>
  <si>
    <t>riga D6.TVO · formula, unita_soglia, score</t>
  </si>
  <si>
    <t>testoRiquadro</t>
  </si>
  <si>
    <t>ISG  ·  Inverso non limitato</t>
  </si>
  <si>
    <t>fa_ca_exec_d6_indicatori_score  {"p_anno": …, filtri…, "p_codici": ["ISG"]}</t>
  </si>
  <si>
    <t>Personale ≥ 55 anni 901.313</t>
  </si>
  <si>
    <t>riga D6.ISG · valore_1 (etichetta: componente_1)</t>
  </si>
  <si>
    <t>Personale &lt; 40 anni 624.699</t>
  </si>
  <si>
    <t>riga D6.ISG · valore_2 (etichetta: componente_2)</t>
  </si>
  <si>
    <t>riga D6.ISG · valore (etichetta: formula; nota: formula_con_numeri)</t>
  </si>
  <si>
    <t>Valore ISG</t>
  </si>
  <si>
    <t>componente_1 / componente_2</t>
  </si>
  <si>
    <t>riga D6.ISG · valore_1 / valore_2</t>
  </si>
  <si>
    <t>r.valore_1 / r.valore_2</t>
  </si>
  <si>
    <t>Score ISG ricostruito</t>
  </si>
  <si>
    <t>Score ISG restituito dall'API</t>
  </si>
  <si>
    <t>1,51  (oggi è il valore, non lo score)</t>
  </si>
  <si>
    <t>riga D6.ISG · score / 100</t>
  </si>
  <si>
    <t>Badge ISG restituito dall'API</t>
  </si>
  <si>
    <t>riga D6.ISG · badge</t>
  </si>
  <si>
    <t>ISG = Personale ≥ 55 / Personale &lt; 40 · 1=equilibrio</t>
  </si>
  <si>
    <t>riga D6.ISG · formula, unita_soglia, score</t>
  </si>
  <si>
    <t>TEP  ·  Inverso [0;1]</t>
  </si>
  <si>
    <t>fa_ca_exec_d6_indicatori_score  {"p_anno": …, filtri…, "p_codici": ["TEP"]}</t>
  </si>
  <si>
    <t>Personale ≥ 60 anni 446.353</t>
  </si>
  <si>
    <t>riga D6.TEP · valore_1 (etichetta: componente_1)</t>
  </si>
  <si>
    <t>Totale personale (somma fasce) 2.548.051</t>
  </si>
  <si>
    <t>riga D6.TEP · valore_2 (etichetta: componente_2)</t>
  </si>
  <si>
    <t>Media ponderata per ente = 0,27</t>
  </si>
  <si>
    <t>riga D6.TEP · valore (etichetta: formula; nota: formula_con_numeri)</t>
  </si>
  <si>
    <t>Valore TEP</t>
  </si>
  <si>
    <t>riga D6.TEP · valore_1 / valore_2</t>
  </si>
  <si>
    <t>Score TEP ricostruito</t>
  </si>
  <si>
    <t>Score TEP restituito dall'API</t>
  </si>
  <si>
    <t>0,27  (oggi è il valore, non lo score)</t>
  </si>
  <si>
    <t>riga D6.TEP · score / 100</t>
  </si>
  <si>
    <t>Badge TEP restituito dall'API</t>
  </si>
  <si>
    <t>riga D6.TEP · badge</t>
  </si>
  <si>
    <t>TEP = Personale ≥ 60 / Totale Personale · [0;1]</t>
  </si>
  <si>
    <t>riga D6.TEP · formula, unita_soglia, score</t>
  </si>
  <si>
    <t>IQP  ·  Target su quota</t>
  </si>
  <si>
    <t>fa_ca_exec_d6_indicatori_score  {"p_anno": …, filtri…, "p_codici": ["IQP"]}</t>
  </si>
  <si>
    <t>Personale con laurea o superiore 124.417</t>
  </si>
  <si>
    <t>riga D6.IQP · valore_1 (etichetta: componente_1)</t>
  </si>
  <si>
    <t>Totale personale 191.410</t>
  </si>
  <si>
    <t>riga D6.IQP · valore_2 (etichetta: componente_2)</t>
  </si>
  <si>
    <t>riga D6.IQP · valore (etichetta: formula; nota: formula_con_numeri)</t>
  </si>
  <si>
    <t>Valore IQP</t>
  </si>
  <si>
    <t>riga D6.IQP · valore_1 / valore_2</t>
  </si>
  <si>
    <t>Target</t>
  </si>
  <si>
    <t>riga D6.IQP · soglia_score (+ unita_soglia)</t>
  </si>
  <si>
    <t>Score IQP ricostruito</t>
  </si>
  <si>
    <t>Score IQP restituito dall'API</t>
  </si>
  <si>
    <t>0,65  (oggi è il valore, non lo score)</t>
  </si>
  <si>
    <t>riga D6.IQP · score / 100</t>
  </si>
  <si>
    <t>Badge IQP restituito dall'API</t>
  </si>
  <si>
    <t>riga D6.IQP · badge</t>
  </si>
  <si>
    <t>IQP = Personale laureato / Totale personale · [0;1]</t>
  </si>
  <si>
    <t>riga D6.IQP · formula, unita_soglia, score</t>
  </si>
  <si>
    <t>IEQ  ·  Variazione centrata</t>
  </si>
  <si>
    <t>fa_ca_exec_d6_indicatori_score  {"p_anno": …, filtri…, "p_codici": ["IEQ"]}</t>
  </si>
  <si>
    <t>% laureati anno corrente 65</t>
  </si>
  <si>
    <t>riga D6.IEQ · valore_1 (etichetta: componente_1)</t>
  </si>
  <si>
    <t>% laureati 3 anni fa 59</t>
  </si>
  <si>
    <t>riga D6.IEQ · valore_2 (etichetta: componente_2)</t>
  </si>
  <si>
    <t>riga D6.IEQ · valore (etichetta: formula; nota: formula_con_numeri)</t>
  </si>
  <si>
    <t>Variazione IEQ</t>
  </si>
  <si>
    <t>valore (più preciso dei componenti, arrotondati a due decimali)</t>
  </si>
  <si>
    <t>riga D6.IEQ · valore</t>
  </si>
  <si>
    <t>riga D6.IEQ · soglia_score (+ unita_soglia)</t>
  </si>
  <si>
    <t>Score IEQ ricostruito</t>
  </si>
  <si>
    <t>Score IEQ restituito dall'API</t>
  </si>
  <si>
    <t>0,58  (oggi è il valore, non lo score)</t>
  </si>
  <si>
    <t>riga D6.IEQ · score / 100</t>
  </si>
  <si>
    <t>Badge IEQ restituito dall'API</t>
  </si>
  <si>
    <t>riga D6.IEQ · badge</t>
  </si>
  <si>
    <t>Valore e componenti arrivano con due decimali: per variazioni piccole o tassi bassi lo scarto può superare 0,01. Serve più precisione dal backend (punto aperto).</t>
  </si>
  <si>
    <t>IEQ = (%Laureati_t − %Laureati_{t-3}) / %Laureati_{t-3}</t>
  </si>
  <si>
    <t>riga D6.IEQ · formula, unita_soglia, score</t>
  </si>
  <si>
    <t>IPD  ·  Ottimo centrale a 1</t>
  </si>
  <si>
    <t>fa_ca_exec_d6_indicatori_score  {"p_anno": …, filtri…, "p_codici": ["IPD"]}</t>
  </si>
  <si>
    <t>Donne dirigenti (TI) 34.900</t>
  </si>
  <si>
    <t>riga D6.IPD · valore_1 (etichetta: componente_1)</t>
  </si>
  <si>
    <t>Totale dirigenti (TI uomini + donne) 61.374</t>
  </si>
  <si>
    <t>riga D6.IPD · valore_2 (etichetta: componente_2)</t>
  </si>
  <si>
    <t>Media ponderata per ente = 0,55</t>
  </si>
  <si>
    <t>riga D6.IPD · valore (etichetta: formula; nota: formula_con_numeri)</t>
  </si>
  <si>
    <t>Valore IPD</t>
  </si>
  <si>
    <t>riga D6.IPD · valore</t>
  </si>
  <si>
    <t>Reciproco 1 / IPD</t>
  </si>
  <si>
    <t>1 / (r.valore)</t>
  </si>
  <si>
    <t>Score IPD ricostruito</t>
  </si>
  <si>
    <t>Score IPD restituito dall'API</t>
  </si>
  <si>
    <t>0,55  (oggi è il valore, non lo score)</t>
  </si>
  <si>
    <t>riga D6.IPD · score / 100</t>
  </si>
  <si>
    <t>Badge IPD restituito dall'API</t>
  </si>
  <si>
    <t>riga D6.IPD · badge</t>
  </si>
  <si>
    <t>IPD = (% Donne dirigenti) / (% Donne organico) · 1=proporzionalità</t>
  </si>
  <si>
    <t>riga D6.IPD · formula, unita_soglia, score</t>
  </si>
  <si>
    <t>TEPD  ·  Progresso verso l'ottimo</t>
  </si>
  <si>
    <t>fa_ca_exec_d6_indicatori_score  {"p_anno": …, filtri…, "p_codici": ["TEPD"]}</t>
  </si>
  <si>
    <t>IPD anno corrente 0.55</t>
  </si>
  <si>
    <t>riga D6.TEPD · valore_1 (etichetta: componente_1)</t>
  </si>
  <si>
    <t>IPD 3 anni fa 0.48</t>
  </si>
  <si>
    <t>riga D6.TEPD · valore_2 (etichetta: componente_2)</t>
  </si>
  <si>
    <t>riga D6.TEPD · valore (etichetta: formula; nota: formula_con_numeri)</t>
  </si>
  <si>
    <t>Variazione triennale TEPD</t>
  </si>
  <si>
    <t>riga D6.TEPD · valore (variazione triennale)</t>
  </si>
  <si>
    <t>Media annua = variazione / 3</t>
  </si>
  <si>
    <t>r.valore / 3</t>
  </si>
  <si>
    <t>riga D6.TEPD · soglia_score (+ unita_soglia)</t>
  </si>
  <si>
    <t>Score TEPD ricostruito</t>
  </si>
  <si>
    <t>Score TEPD restituito dall'API</t>
  </si>
  <si>
    <t>0,52  (oggi è il valore, non lo score)</t>
  </si>
  <si>
    <t>riga D6.TEPD · score / 100</t>
  </si>
  <si>
    <t>Badge TEPD restituito dall'API</t>
  </si>
  <si>
    <t>riga D6.TEPD · badge</t>
  </si>
  <si>
    <t>TEPD = IPD_t − IPD_{t-n} · Dominio [-1;+1]</t>
  </si>
  <si>
    <t>riga D6.TEPD · formula, unita_soglia, score</t>
  </si>
  <si>
    <t>VQF  ·  Variazione centrata</t>
  </si>
  <si>
    <t>fa_ca_exec_d6_indicatori_score  {"p_anno": …, filtri…, "p_codici": ["VQF"]}</t>
  </si>
  <si>
    <t>Donne in organico (2023) 110.085</t>
  </si>
  <si>
    <t>riga D6.VQF · valore_1 (etichetta: componente_1)</t>
  </si>
  <si>
    <t>Totale personale (2023) 191.410</t>
  </si>
  <si>
    <t>riga D6.VQF · valore_2 (etichetta: componente_2)</t>
  </si>
  <si>
    <t>riga D6.VQF · valore (etichetta: formula; nota: formula_con_numeri)</t>
  </si>
  <si>
    <t>Variazione VQF</t>
  </si>
  <si>
    <t>riga D6.VQF · valore</t>
  </si>
  <si>
    <t>riga D6.VQF · soglia_score (+ unita_soglia)</t>
  </si>
  <si>
    <t>Score VQF ricostruito</t>
  </si>
  <si>
    <t>Score VQF restituito dall'API</t>
  </si>
  <si>
    <t>0,57  (oggi è il valore, non lo score)</t>
  </si>
  <si>
    <t>riga D6.VQF · score / 100</t>
  </si>
  <si>
    <t>Badge VQF restituito dall'API</t>
  </si>
  <si>
    <t>riga D6.VQF · badge</t>
  </si>
  <si>
    <t>VQF = Donne / Totale · [0;1]</t>
  </si>
  <si>
    <t>riga D6.VQF · formula, unita_soglia, score</t>
  </si>
  <si>
    <t>IRG  ·  Rapporto centrato a 1</t>
  </si>
  <si>
    <t>fa_ca_exec_d6_indicatori_score  {"p_anno": …, filtri…, "p_codici": ["IRG"]}</t>
  </si>
  <si>
    <t>% donne tra nuovi assunti (2.020/3.542) 57</t>
  </si>
  <si>
    <t>riga D6.IRG · valore_1 (etichetta: componente_1)</t>
  </si>
  <si>
    <t>% donne nell'organico (110.085/191.410) 57.5</t>
  </si>
  <si>
    <t>riga D6.IRG · valore_2 (etichetta: componente_2)</t>
  </si>
  <si>
    <t>riga D6.IRG · valore (etichetta: formula; nota: formula_con_numeri)</t>
  </si>
  <si>
    <t>Valore IRG</t>
  </si>
  <si>
    <t>riga D6.IRG · valore</t>
  </si>
  <si>
    <t>Scarto dalla parità IRG − 1</t>
  </si>
  <si>
    <t>(r.valore) - 1</t>
  </si>
  <si>
    <t>riga D6.IRG · soglia_score (+ unita_soglia)</t>
  </si>
  <si>
    <t>Score IRG ricostruito</t>
  </si>
  <si>
    <t>Score IRG restituito dall'API</t>
  </si>
  <si>
    <t>0,99 (card IRG_genere)  (oggi è il valore, non lo score)</t>
  </si>
  <si>
    <t>riga D6.IRG · score / 100</t>
  </si>
  <si>
    <t>Badge IRG restituito dall'API</t>
  </si>
  <si>
    <t>riga D6.IRG · badge</t>
  </si>
  <si>
    <t>IRG = (% Donne assunti) / (% Donne organico) · 1=neutralità</t>
  </si>
  <si>
    <t>riga D6.IRG · formula, unita_soglia, score</t>
  </si>
  <si>
    <t>RTG  ·  Ottimo centrale a 1</t>
  </si>
  <si>
    <t>fa_ca_exec_d6_indicatori_score  {"p_anno": …, filtri…, "p_codici": ["RTG"]}</t>
  </si>
  <si>
    <t>da aggiungere (nessuna schermata)</t>
  </si>
  <si>
    <t>riga D6.RTG · valore_1 (etichetta: componente_1)</t>
  </si>
  <si>
    <t>riga D6.RTG · valore_2 (etichetta: componente_2)</t>
  </si>
  <si>
    <t>riga D6.RTG · valore (etichetta: formula; nota: formula_con_numeri)</t>
  </si>
  <si>
    <t>Valore RTG</t>
  </si>
  <si>
    <t>riga D6.RTG · valore</t>
  </si>
  <si>
    <t>Reciproco 1 / RTG</t>
  </si>
  <si>
    <t>Score RTG ricostruito</t>
  </si>
  <si>
    <t>Score RTG restituito dall'API</t>
  </si>
  <si>
    <t>riga D6.RTG · score / 100</t>
  </si>
  <si>
    <t>Badge RTG restituito dall'API</t>
  </si>
  <si>
    <t>riga D6.RTG · badge</t>
  </si>
  <si>
    <t>riga D6.RTG · formula, unita_soglia, score</t>
  </si>
  <si>
    <t>RRG  ·  Ottimo centrale a 1</t>
  </si>
  <si>
    <t>fa_ca_exec_d6_indicatori_score  {"p_anno": …, filtri…, "p_codici": ["RRG"]}</t>
  </si>
  <si>
    <t>riga D6.RRG · valore_1 (etichetta: componente_1)</t>
  </si>
  <si>
    <t>riga D6.RRG · valore_2 (etichetta: componente_2)</t>
  </si>
  <si>
    <t>riga D6.RRG · valore (etichetta: formula; nota: formula_con_numeri)</t>
  </si>
  <si>
    <t>Valore RRG</t>
  </si>
  <si>
    <t>riga D6.RRG · valore</t>
  </si>
  <si>
    <t>Reciproco 1 / RRG</t>
  </si>
  <si>
    <t>Score RRG ricostruito</t>
  </si>
  <si>
    <t>Score RRG restituito dall'API</t>
  </si>
  <si>
    <t>riga D6.RRG · score / 100</t>
  </si>
  <si>
    <t>Badge RRG restituito dall'API</t>
  </si>
  <si>
    <t>riga D6.RRG · badge</t>
  </si>
  <si>
    <t>riga D6.RRG · formula, unita_soglia, score</t>
  </si>
  <si>
    <t>IFL  ·  Inverso con soglia</t>
  </si>
  <si>
    <t>fa_ca_exec_d6_indicatori_score  {"p_anno": …, filtri…, "p_codici": ["IFL"]}</t>
  </si>
  <si>
    <t>Personale con contratto flessibile 202</t>
  </si>
  <si>
    <t>riga D6.IFL · valore_1 (etichetta: componente_1)</t>
  </si>
  <si>
    <t>riga D6.IFL · valore_2 (etichetta: componente_2)</t>
  </si>
  <si>
    <t>riga D6.IFL · valore (etichetta: formula; nota: formula_con_numeri)</t>
  </si>
  <si>
    <t>Valore IFL</t>
  </si>
  <si>
    <t>riga D6.IFL · valore_1 / valore_2</t>
  </si>
  <si>
    <t>Soglia</t>
  </si>
  <si>
    <t>riga D6.IFL · soglia_score (+ unita_soglia)</t>
  </si>
  <si>
    <t>Score IFL ricostruito</t>
  </si>
  <si>
    <t>Score IFL restituito dall'API</t>
  </si>
  <si>
    <t>0,00  (oggi è il valore, non lo score)</t>
  </si>
  <si>
    <t>riga D6.IFL · score / 100</t>
  </si>
  <si>
    <t>Badge IFL restituito dall'API</t>
  </si>
  <si>
    <t>riga D6.IFL · badge</t>
  </si>
  <si>
    <t>IFL = Personale flessibile / Totale personale · [0;1]</t>
  </si>
  <si>
    <t>riga D6.IFL · formula, unita_soglia, score</t>
  </si>
  <si>
    <t>TFL  ·  Variazione centrata inversa</t>
  </si>
  <si>
    <t>fa_ca_exec_d6_indicatori_score  {"p_anno": …, filtri…, "p_codici": ["TFL"]}</t>
  </si>
  <si>
    <t>IFL anno corrente 0.001</t>
  </si>
  <si>
    <t>riga D6.TFL · valore_1 (etichetta: componente_1)</t>
  </si>
  <si>
    <t>IFL 3 anni fa 0.001</t>
  </si>
  <si>
    <t>riga D6.TFL · valore_2 (etichetta: componente_2)</t>
  </si>
  <si>
    <t>riga D6.TFL · valore (etichetta: formula; nota: formula_con_numeri)</t>
  </si>
  <si>
    <t>Variazione triennale TFL</t>
  </si>
  <si>
    <t>riga D6.TFL · valore (variazione triennale)</t>
  </si>
  <si>
    <t>riga D6.TFL · soglia_score (+ unita_soglia)</t>
  </si>
  <si>
    <t>Score TFL ricostruito</t>
  </si>
  <si>
    <t>Score TFL restituito dall'API</t>
  </si>
  <si>
    <t>0,50  (oggi è il valore, non lo score)</t>
  </si>
  <si>
    <t>riga D6.TFL · score / 100</t>
  </si>
  <si>
    <t>Badge TFL restituito dall'API</t>
  </si>
  <si>
    <t>riga D6.TFL · badge</t>
  </si>
  <si>
    <t>TFL = IFL_t − IFL_{t-n} · Dominio [-1;+1]</t>
  </si>
  <si>
    <t>riga D6.TFL · formula, unita_soglia, score</t>
  </si>
  <si>
    <t>IDLA  ·  Target su quota</t>
  </si>
  <si>
    <t>fa_ca_exec_d6_indicatori_score  {"p_anno": …, filtri…, "p_codici": ["IDLA"]}</t>
  </si>
  <si>
    <t>Personale in lavoro agile 92.775</t>
  </si>
  <si>
    <t>riga D6.IDLA · valore_1 (etichetta: componente_1)</t>
  </si>
  <si>
    <t>riga D6.IDLA · valore_2 (etichetta: componente_2)</t>
  </si>
  <si>
    <t>riga D6.IDLA · valore (etichetta: formula; nota: formula_con_numeri)</t>
  </si>
  <si>
    <t>Valore IDLA</t>
  </si>
  <si>
    <t>riga D6.IDLA · valore_1 / valore_2</t>
  </si>
  <si>
    <t>riga D6.IDLA · soglia_score (+ unita_soglia)</t>
  </si>
  <si>
    <t>Score IDLA ricostruito</t>
  </si>
  <si>
    <t>Score IDLA restituito dall'API</t>
  </si>
  <si>
    <t>0,45  (oggi è il valore, non lo score)</t>
  </si>
  <si>
    <t>riga D6.IDLA · score / 100</t>
  </si>
  <si>
    <t>Badge IDLA restituito dall'API</t>
  </si>
  <si>
    <t>riga D6.IDLA · badge</t>
  </si>
  <si>
    <t>IDLA = Personale in lavoro agile / Totale personale · [0;1]</t>
  </si>
  <si>
    <t>riga D6.IDLA · formula, unita_soglia, score</t>
  </si>
  <si>
    <t>TDLA  ·  Variazione centrata</t>
  </si>
  <si>
    <t>fa_ca_exec_d6_indicatori_score  {"p_anno": …, filtri…, "p_codici": ["TDLA"]}</t>
  </si>
  <si>
    <t>IDLA anno corrente 0.45</t>
  </si>
  <si>
    <t>riga D6.TDLA · valore_1 (etichetta: componente_1)</t>
  </si>
  <si>
    <t>IDLA 3 anni fa 0.2</t>
  </si>
  <si>
    <t>riga D6.TDLA · valore_2 (etichetta: componente_2)</t>
  </si>
  <si>
    <t>riga D6.TDLA · valore (etichetta: formula; nota: formula_con_numeri)</t>
  </si>
  <si>
    <t>Variazione triennale TDLA</t>
  </si>
  <si>
    <t>riga D6.TDLA · valore (variazione triennale)</t>
  </si>
  <si>
    <t>riga D6.TDLA · soglia_score (+ unita_soglia)</t>
  </si>
  <si>
    <t>Score TDLA ricostruito</t>
  </si>
  <si>
    <t>Score TDLA restituito dall'API</t>
  </si>
  <si>
    <t>0,60  (oggi è il valore, non lo score)</t>
  </si>
  <si>
    <t>riga D6.TDLA · score / 100</t>
  </si>
  <si>
    <t>Badge TDLA restituito dall'API</t>
  </si>
  <si>
    <t>riga D6.TDLA · badge</t>
  </si>
  <si>
    <t>TDLA = IDLA_t − IDLA_{t-n} · Dominio [-1;+1]</t>
  </si>
  <si>
    <t>riga D6.TDLA · formula, unita_soglia, score</t>
  </si>
  <si>
    <t>IRIC  ·  Ottimo a 0</t>
  </si>
  <si>
    <t>fa_ca_exec_d6_indicatori_score  {"p_anno": …, filtri…, "p_codici": ["IRIC"]}</t>
  </si>
  <si>
    <t>riga D6.IRIC · valore_1 (etichetta: componente_1)</t>
  </si>
  <si>
    <t>riga D6.IRIC · valore_2 (etichetta: componente_2)</t>
  </si>
  <si>
    <t>riga D6.IRIC · valore (etichetta: formula; nota: formula_con_numeri)</t>
  </si>
  <si>
    <t>Valore IRIC</t>
  </si>
  <si>
    <t>riga D6.IRIC · valore</t>
  </si>
  <si>
    <t>Distanza dalla neutralità |IRIC|</t>
  </si>
  <si>
    <t>Math.abs(r.valore)</t>
  </si>
  <si>
    <t>Score IRIC ricostruito</t>
  </si>
  <si>
    <t>Score IRIC restituito dall'API</t>
  </si>
  <si>
    <t>riga D6.IRIC · score / 100</t>
  </si>
  <si>
    <t>Badge IRIC restituito dall'API</t>
  </si>
  <si>
    <t>riga D6.IRIC · badge</t>
  </si>
  <si>
    <t>riga D6.IRIC · formula, unita_soglia, score</t>
  </si>
  <si>
    <t>D6 — chiamate che alimentano la scomposizione della formula</t>
  </si>
  <si>
    <t>Righe della risposta usate</t>
  </si>
  <si>
    <t>Campi letti</t>
  </si>
  <si>
    <t>Righe calcolate nel frontend</t>
  </si>
  <si>
    <t>badge, score, soglia_score, valore, valore_1, valore_2</t>
  </si>
  <si>
    <t>badge, score, valore, valore_1, valore_2</t>
  </si>
  <si>
    <t>Sì</t>
  </si>
  <si>
    <t>NO</t>
  </si>
  <si>
    <t>Parametri delle RPC D6</t>
  </si>
  <si>
    <t>p_macrocategoria / p_categoria</t>
  </si>
  <si>
    <t>p_genere</t>
  </si>
  <si>
    <t>p_codici</t>
  </si>
  <si>
    <t>fa_ca_exec_d6_indicatori</t>
  </si>
  <si>
    <t>Cond.</t>
  </si>
  <si>
    <t>fa_ca_exec_d6_tvo</t>
  </si>
  <si>
    <t>fa_ca_exec_d6_isg</t>
  </si>
  <si>
    <t>fa_ca_exec_d6_tep</t>
  </si>
  <si>
    <t>fa_ca_exec_d6_iqp</t>
  </si>
  <si>
    <t>fa_ca_exec_d6_ieq</t>
  </si>
  <si>
    <t>fa_ca_exec_d6_ifl</t>
  </si>
  <si>
    <t>fa_ca_exec_d6_tfl</t>
  </si>
  <si>
    <t>fa_ca_exec_d6_idla</t>
  </si>
  <si>
    <t>fa_ca_exec_d6_tdla</t>
  </si>
  <si>
    <t>fa_ca_exec_d6_vqf</t>
  </si>
  <si>
    <t>fa_ca_exec_d6_irg</t>
  </si>
  <si>
    <t>fa_ca_exec_d6_rtg</t>
  </si>
  <si>
    <t>fa_ca_exec_d6_rrg</t>
  </si>
  <si>
    <t>fa_ca_exec_d6_ipd</t>
  </si>
  <si>
    <t>fa_ca_exec_d6_tepd</t>
  </si>
  <si>
    <t>ELIMANRE</t>
  </si>
  <si>
    <t>Fulmine verso l'alto, il basso o in pareggio con valorizzazione in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</si>
</sst>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##"/>
    <numFmt numFmtId="165" formatCode="0.0000"/>
    <numFmt numFmtId="166" formatCode="0.0##"/>
    <numFmt numFmtId="167" formatCode="0.000"/>
  </numFmts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b/>
      <sz val="10"/>
      <color rgb="FF1F386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E7E6E6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3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2" fontId="8" fillId="4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top" wrapText="1"/>
    </xf>
    <xf numFmtId="166" fontId="7" fillId="3" borderId="1" xfId="0" applyNumberFormat="1" applyFont="1" applyFill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right" vertical="center"/>
    </xf>
    <xf numFmtId="167" fontId="7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0" fontId="7" fillId="8" borderId="1" xfId="0" applyFont="1" applyFill="1" applyBorder="1"/>
    <xf numFmtId="0" fontId="5" fillId="0" borderId="1" xfId="0" applyFont="1" applyBorder="1"/>
    <xf numFmtId="0" fontId="7" fillId="9" borderId="1" xfId="0" applyFont="1" applyFill="1" applyBorder="1"/>
    <xf numFmtId="0" fontId="7" fillId="10" borderId="1" xfId="0" applyFont="1" applyFill="1" applyBorder="1"/>
    <xf numFmtId="0" fontId="7" fillId="11" borderId="1" xfId="0" applyFont="1" applyFill="1" applyBorder="1"/>
    <xf numFmtId="0" fontId="5" fillId="12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3" xfId="0" applyBorder="1"/>
    <xf numFmtId="0" fontId="6" fillId="0" borderId="1" xfId="0" applyFont="1" applyBorder="1" applyAlignment="1">
      <alignment vertical="top" wrapText="1"/>
    </xf>
    <xf numFmtId="0" fontId="0" fillId="0" borderId="2" xfId="0" applyBorder="1"/>
    <xf numFmtId="0" fontId="4" fillId="2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e" xfId="0" builtinId="0"/>
  </cellStyles>
  <dxfs count="2">
    <dxf>
      <fill>
        <patternFill patternType="solid">
          <fgColor rgb="FFFCE4E4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tabSelected="1" workbookViewId="0">
      <pane xSplit="1" ySplit="3" topLeftCell="B17" activePane="bottomRight" state="frozen"/>
      <selection pane="topRight"/>
      <selection pane="bottomLeft"/>
      <selection pane="bottomRight" activeCell="B23" sqref="B23"/>
    </sheetView>
  </sheetViews>
  <sheetFormatPr defaultRowHeight="15" x14ac:dyDescent="0.25"/>
  <cols>
    <col min="1" max="1" width="4" customWidth="1"/>
    <col min="2" max="2" width="34" customWidth="1"/>
    <col min="3" max="3" width="48" customWidth="1"/>
    <col min="4" max="4" width="38" customWidth="1"/>
    <col min="5" max="5" width="70" customWidth="1"/>
  </cols>
  <sheetData>
    <row r="1" spans="1:5" ht="16.5" x14ac:dyDescent="0.25">
      <c r="A1" s="1" t="s">
        <v>0</v>
      </c>
    </row>
    <row r="3" spans="1:5" ht="30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6</v>
      </c>
    </row>
    <row r="4" spans="1:5" ht="48" customHeight="1" x14ac:dyDescent="0.25">
      <c r="A4" s="5" t="s">
        <v>7</v>
      </c>
      <c r="B4" s="6" t="s">
        <v>8</v>
      </c>
      <c r="C4" s="6" t="s">
        <v>9</v>
      </c>
      <c r="D4" s="8" t="s">
        <v>11</v>
      </c>
      <c r="E4" s="6" t="s">
        <v>10</v>
      </c>
    </row>
    <row r="5" spans="1:5" ht="50.1" customHeight="1" x14ac:dyDescent="0.25">
      <c r="A5" s="5" t="s">
        <v>13</v>
      </c>
      <c r="B5" s="6" t="s">
        <v>14</v>
      </c>
      <c r="C5" s="6" t="s">
        <v>15</v>
      </c>
      <c r="D5" s="8" t="s">
        <v>16</v>
      </c>
      <c r="E5" s="6"/>
    </row>
    <row r="6" spans="1:5" ht="50.1" customHeight="1" x14ac:dyDescent="0.25">
      <c r="A6" s="5" t="s">
        <v>17</v>
      </c>
      <c r="B6" s="6" t="s">
        <v>18</v>
      </c>
      <c r="C6" s="6" t="s">
        <v>19</v>
      </c>
      <c r="D6" s="8" t="s">
        <v>20</v>
      </c>
      <c r="E6" s="6"/>
    </row>
    <row r="7" spans="1:5" ht="50.1" customHeight="1" x14ac:dyDescent="0.25">
      <c r="A7" s="5" t="s">
        <v>21</v>
      </c>
      <c r="B7" s="6" t="s">
        <v>22</v>
      </c>
      <c r="C7" s="6"/>
      <c r="D7" s="8"/>
      <c r="E7" s="6"/>
    </row>
    <row r="8" spans="1:5" ht="50.1" customHeight="1" x14ac:dyDescent="0.25">
      <c r="A8" s="5" t="s">
        <v>23</v>
      </c>
      <c r="B8" s="6" t="s">
        <v>24</v>
      </c>
      <c r="C8" s="6" t="s">
        <v>25</v>
      </c>
      <c r="D8" s="8" t="s">
        <v>26</v>
      </c>
      <c r="E8" s="6"/>
    </row>
    <row r="9" spans="1:5" ht="50.1" customHeight="1" x14ac:dyDescent="0.25">
      <c r="A9" s="5" t="s">
        <v>28</v>
      </c>
      <c r="B9" s="6" t="s">
        <v>29</v>
      </c>
      <c r="C9" s="6" t="s">
        <v>30</v>
      </c>
      <c r="D9" s="8" t="s">
        <v>31</v>
      </c>
      <c r="E9" s="6"/>
    </row>
    <row r="10" spans="1:5" ht="50.1" customHeight="1" x14ac:dyDescent="0.25">
      <c r="A10" s="5" t="s">
        <v>33</v>
      </c>
      <c r="B10" s="6" t="s">
        <v>34</v>
      </c>
      <c r="C10" s="6" t="s">
        <v>35</v>
      </c>
      <c r="D10" s="8" t="s">
        <v>36</v>
      </c>
      <c r="E10" s="6"/>
    </row>
    <row r="11" spans="1:5" ht="50.1" customHeight="1" x14ac:dyDescent="0.25">
      <c r="A11" s="5" t="s">
        <v>38</v>
      </c>
      <c r="B11" s="6" t="s">
        <v>39</v>
      </c>
      <c r="C11" s="6" t="s">
        <v>40</v>
      </c>
      <c r="D11" s="8" t="s">
        <v>41</v>
      </c>
      <c r="E11" s="6"/>
    </row>
    <row r="12" spans="1:5" ht="50.1" customHeight="1" x14ac:dyDescent="0.25">
      <c r="A12" s="5" t="s">
        <v>43</v>
      </c>
      <c r="B12" s="6" t="s">
        <v>44</v>
      </c>
      <c r="C12" s="6" t="s">
        <v>45</v>
      </c>
      <c r="D12" s="8" t="s">
        <v>46</v>
      </c>
      <c r="E12" s="6"/>
    </row>
    <row r="13" spans="1:5" ht="50.1" customHeight="1" x14ac:dyDescent="0.25">
      <c r="A13" s="5" t="s">
        <v>47</v>
      </c>
      <c r="B13" s="6" t="s">
        <v>48</v>
      </c>
      <c r="C13" s="6" t="s">
        <v>49</v>
      </c>
      <c r="D13" s="8" t="s">
        <v>50</v>
      </c>
      <c r="E13" s="6"/>
    </row>
    <row r="14" spans="1:5" ht="50.1" customHeight="1" x14ac:dyDescent="0.25">
      <c r="A14" s="5" t="s">
        <v>51</v>
      </c>
      <c r="B14" s="6" t="s">
        <v>52</v>
      </c>
      <c r="C14" s="6" t="s">
        <v>53</v>
      </c>
      <c r="D14" s="8" t="s">
        <v>54</v>
      </c>
      <c r="E14" s="6"/>
    </row>
    <row r="15" spans="1:5" ht="50.1" customHeight="1" x14ac:dyDescent="0.25">
      <c r="A15" s="5" t="s">
        <v>56</v>
      </c>
      <c r="B15" s="6" t="s">
        <v>57</v>
      </c>
      <c r="C15" s="6" t="s">
        <v>58</v>
      </c>
      <c r="D15" s="8" t="s">
        <v>59</v>
      </c>
      <c r="E15" s="6"/>
    </row>
    <row r="16" spans="1:5" ht="50.1" customHeight="1" x14ac:dyDescent="0.25">
      <c r="A16" s="5" t="s">
        <v>61</v>
      </c>
      <c r="B16" s="6" t="s">
        <v>62</v>
      </c>
      <c r="C16" s="6" t="s">
        <v>63</v>
      </c>
      <c r="D16" s="8" t="s">
        <v>64</v>
      </c>
      <c r="E16" s="6"/>
    </row>
    <row r="17" spans="1:5" ht="50.1" customHeight="1" x14ac:dyDescent="0.25">
      <c r="A17" s="5" t="s">
        <v>66</v>
      </c>
      <c r="B17" s="6" t="s">
        <v>67</v>
      </c>
      <c r="C17" s="6" t="s">
        <v>68</v>
      </c>
      <c r="D17" s="8" t="s">
        <v>69</v>
      </c>
      <c r="E17" s="6"/>
    </row>
    <row r="18" spans="1:5" ht="50.1" customHeight="1" x14ac:dyDescent="0.25">
      <c r="A18" s="5" t="s">
        <v>71</v>
      </c>
      <c r="B18" s="6" t="s">
        <v>72</v>
      </c>
      <c r="C18" s="6" t="s">
        <v>73</v>
      </c>
      <c r="D18" s="8" t="s">
        <v>74</v>
      </c>
      <c r="E18" s="6"/>
    </row>
    <row r="19" spans="1:5" ht="50.1" customHeight="1" x14ac:dyDescent="0.25">
      <c r="A19" s="5" t="s">
        <v>76</v>
      </c>
      <c r="B19" s="6" t="s">
        <v>77</v>
      </c>
      <c r="C19" s="6" t="s">
        <v>78</v>
      </c>
      <c r="D19" s="8" t="s">
        <v>79</v>
      </c>
      <c r="E19" s="6"/>
    </row>
    <row r="20" spans="1:5" ht="50.1" customHeight="1" x14ac:dyDescent="0.25">
      <c r="A20" s="5" t="s">
        <v>80</v>
      </c>
      <c r="B20" s="6" t="s">
        <v>81</v>
      </c>
      <c r="C20" s="6" t="s">
        <v>82</v>
      </c>
      <c r="D20" s="8" t="s">
        <v>83</v>
      </c>
      <c r="E20" s="6"/>
    </row>
    <row r="21" spans="1:5" ht="50.1" customHeight="1" x14ac:dyDescent="0.25">
      <c r="A21" s="5" t="s">
        <v>84</v>
      </c>
      <c r="B21" s="6" t="s">
        <v>85</v>
      </c>
      <c r="C21" s="6" t="s">
        <v>12</v>
      </c>
      <c r="D21" s="8" t="s">
        <v>86</v>
      </c>
      <c r="E21" s="6" t="s">
        <v>10</v>
      </c>
    </row>
    <row r="22" spans="1:5" ht="50.1" customHeight="1" x14ac:dyDescent="0.25">
      <c r="A22" s="5" t="s">
        <v>87</v>
      </c>
      <c r="B22" s="6" t="s">
        <v>88</v>
      </c>
      <c r="C22" s="6" t="s">
        <v>12</v>
      </c>
      <c r="D22" s="8" t="s">
        <v>89</v>
      </c>
      <c r="E22" s="6" t="s">
        <v>10</v>
      </c>
    </row>
    <row r="23" spans="1:5" ht="50.1" customHeight="1" x14ac:dyDescent="0.25">
      <c r="A23" s="5" t="s">
        <v>90</v>
      </c>
      <c r="B23" s="6" t="s">
        <v>91</v>
      </c>
      <c r="C23" s="6" t="s">
        <v>92</v>
      </c>
      <c r="D23" s="8"/>
      <c r="E23" s="6" t="s">
        <v>576</v>
      </c>
    </row>
    <row r="24" spans="1:5" ht="50.1" customHeight="1" x14ac:dyDescent="0.25">
      <c r="A24" s="5" t="s">
        <v>93</v>
      </c>
      <c r="B24" s="6" t="s">
        <v>94</v>
      </c>
      <c r="C24" s="6" t="s">
        <v>95</v>
      </c>
      <c r="D24" s="8" t="s">
        <v>96</v>
      </c>
      <c r="E24" s="6"/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"/>
  <sheetViews>
    <sheetView workbookViewId="0">
      <pane xSplit="2" ySplit="5" topLeftCell="C9" activePane="bottomRight" state="frozen"/>
      <selection pane="topRight"/>
      <selection pane="bottomLeft"/>
      <selection pane="bottomRight" activeCell="A42" sqref="A42:XFD82"/>
    </sheetView>
  </sheetViews>
  <sheetFormatPr defaultRowHeight="15" x14ac:dyDescent="0.25"/>
  <cols>
    <col min="1" max="1" width="12" customWidth="1"/>
    <col min="2" max="2" width="30" customWidth="1"/>
    <col min="3" max="3" width="34" customWidth="1"/>
    <col min="4" max="4" width="44" customWidth="1"/>
    <col min="5" max="5" width="34" customWidth="1"/>
    <col min="6" max="6" width="16" customWidth="1"/>
    <col min="7" max="8" width="30" customWidth="1"/>
  </cols>
  <sheetData>
    <row r="1" spans="1:7" ht="16.5" x14ac:dyDescent="0.25">
      <c r="A1" s="1" t="s">
        <v>97</v>
      </c>
    </row>
    <row r="2" spans="1:7" x14ac:dyDescent="0.25">
      <c r="A2" s="2" t="s">
        <v>98</v>
      </c>
    </row>
    <row r="3" spans="1:7" x14ac:dyDescent="0.25">
      <c r="A3" s="3" t="s">
        <v>99</v>
      </c>
    </row>
    <row r="5" spans="1:7" ht="30" customHeight="1" x14ac:dyDescent="0.25">
      <c r="A5" s="4" t="s">
        <v>1</v>
      </c>
      <c r="B5" s="4" t="s">
        <v>100</v>
      </c>
      <c r="C5" s="4" t="s">
        <v>101</v>
      </c>
      <c r="D5" s="4" t="s">
        <v>102</v>
      </c>
      <c r="E5" s="4" t="s">
        <v>103</v>
      </c>
      <c r="F5" s="42" t="s">
        <v>6</v>
      </c>
      <c r="G5" s="39"/>
    </row>
    <row r="6" spans="1:7" ht="62.1" customHeight="1" x14ac:dyDescent="0.25">
      <c r="A6" s="5">
        <v>1</v>
      </c>
      <c r="B6" s="6" t="s">
        <v>8</v>
      </c>
      <c r="C6" s="6" t="s">
        <v>9</v>
      </c>
      <c r="D6" s="8" t="s">
        <v>104</v>
      </c>
      <c r="E6" s="8" t="s">
        <v>105</v>
      </c>
      <c r="F6" s="38" t="s">
        <v>10</v>
      </c>
      <c r="G6" s="39"/>
    </row>
    <row r="7" spans="1:7" ht="62.1" customHeight="1" x14ac:dyDescent="0.25">
      <c r="A7" s="5">
        <v>2</v>
      </c>
      <c r="B7" s="6" t="s">
        <v>106</v>
      </c>
      <c r="C7" s="6" t="s">
        <v>107</v>
      </c>
      <c r="D7" s="8" t="s">
        <v>108</v>
      </c>
      <c r="E7" s="8" t="s">
        <v>109</v>
      </c>
      <c r="F7" s="38"/>
      <c r="G7" s="39"/>
    </row>
    <row r="8" spans="1:7" ht="62.1" customHeight="1" x14ac:dyDescent="0.25">
      <c r="A8" s="5">
        <v>3</v>
      </c>
      <c r="B8" s="6" t="s">
        <v>110</v>
      </c>
      <c r="C8" s="6" t="s">
        <v>111</v>
      </c>
      <c r="D8" s="8" t="s">
        <v>108</v>
      </c>
      <c r="E8" s="8" t="s">
        <v>112</v>
      </c>
      <c r="F8" s="38"/>
      <c r="G8" s="39"/>
    </row>
    <row r="9" spans="1:7" ht="62.1" customHeight="1" x14ac:dyDescent="0.25">
      <c r="A9" s="5">
        <v>4</v>
      </c>
      <c r="B9" s="6" t="s">
        <v>113</v>
      </c>
      <c r="C9" s="6" t="s">
        <v>114</v>
      </c>
      <c r="D9" s="8" t="s">
        <v>115</v>
      </c>
      <c r="E9" s="8" t="s">
        <v>116</v>
      </c>
      <c r="F9" s="38" t="s">
        <v>117</v>
      </c>
      <c r="G9" s="39"/>
    </row>
    <row r="10" spans="1:7" ht="62.1" customHeight="1" x14ac:dyDescent="0.25">
      <c r="A10" s="5">
        <v>5</v>
      </c>
      <c r="B10" s="6" t="s">
        <v>118</v>
      </c>
      <c r="C10" s="6" t="s">
        <v>119</v>
      </c>
      <c r="D10" s="8" t="s">
        <v>120</v>
      </c>
      <c r="E10" s="8" t="s">
        <v>121</v>
      </c>
      <c r="F10" s="38"/>
      <c r="G10" s="39"/>
    </row>
    <row r="11" spans="1:7" ht="62.1" customHeight="1" x14ac:dyDescent="0.25">
      <c r="A11" s="5">
        <v>6</v>
      </c>
      <c r="B11" s="6" t="s">
        <v>122</v>
      </c>
      <c r="C11" s="6" t="s">
        <v>123</v>
      </c>
      <c r="D11" s="8" t="s">
        <v>120</v>
      </c>
      <c r="E11" s="8" t="s">
        <v>124</v>
      </c>
      <c r="F11" s="38"/>
      <c r="G11" s="39"/>
    </row>
    <row r="12" spans="1:7" ht="62.1" customHeight="1" x14ac:dyDescent="0.25">
      <c r="A12" s="5">
        <v>7</v>
      </c>
      <c r="B12" s="6" t="s">
        <v>125</v>
      </c>
      <c r="C12" s="6" t="s">
        <v>126</v>
      </c>
      <c r="D12" s="8" t="s">
        <v>108</v>
      </c>
      <c r="E12" s="8" t="s">
        <v>127</v>
      </c>
      <c r="F12" s="38"/>
      <c r="G12" s="39"/>
    </row>
    <row r="13" spans="1:7" ht="62.1" customHeight="1" x14ac:dyDescent="0.25">
      <c r="A13" s="5">
        <v>8</v>
      </c>
      <c r="B13" s="6" t="s">
        <v>128</v>
      </c>
      <c r="C13" s="6" t="s">
        <v>129</v>
      </c>
      <c r="D13" s="8" t="s">
        <v>130</v>
      </c>
      <c r="E13" s="8" t="s">
        <v>131</v>
      </c>
      <c r="F13" s="38"/>
      <c r="G13" s="39"/>
    </row>
    <row r="14" spans="1:7" ht="62.1" customHeight="1" x14ac:dyDescent="0.25">
      <c r="A14" s="5">
        <v>9</v>
      </c>
      <c r="B14" s="6" t="s">
        <v>132</v>
      </c>
      <c r="C14" s="6" t="s">
        <v>133</v>
      </c>
      <c r="D14" s="8" t="s">
        <v>134</v>
      </c>
      <c r="E14" s="8" t="s">
        <v>12</v>
      </c>
      <c r="F14" s="38" t="s">
        <v>135</v>
      </c>
      <c r="G14" s="39"/>
    </row>
    <row r="15" spans="1:7" ht="62.1" customHeight="1" x14ac:dyDescent="0.25">
      <c r="A15" s="5">
        <v>10</v>
      </c>
      <c r="B15" s="6" t="s">
        <v>136</v>
      </c>
      <c r="C15" s="6" t="s">
        <v>137</v>
      </c>
      <c r="D15" s="8" t="s">
        <v>138</v>
      </c>
      <c r="E15" s="8" t="s">
        <v>139</v>
      </c>
      <c r="F15" s="38"/>
      <c r="G15" s="39"/>
    </row>
    <row r="16" spans="1:7" ht="62.1" customHeight="1" x14ac:dyDescent="0.25">
      <c r="A16" s="5">
        <v>11</v>
      </c>
      <c r="B16" s="6" t="s">
        <v>140</v>
      </c>
      <c r="C16" s="6" t="s">
        <v>141</v>
      </c>
      <c r="D16" s="8" t="s">
        <v>108</v>
      </c>
      <c r="E16" s="8" t="s">
        <v>142</v>
      </c>
      <c r="F16" s="38"/>
      <c r="G16" s="39"/>
    </row>
    <row r="17" spans="1:8" ht="62.1" customHeight="1" x14ac:dyDescent="0.25">
      <c r="A17" s="5">
        <v>12</v>
      </c>
      <c r="B17" s="6" t="s">
        <v>143</v>
      </c>
      <c r="C17" s="6" t="s">
        <v>144</v>
      </c>
      <c r="D17" s="8" t="s">
        <v>108</v>
      </c>
      <c r="E17" s="8" t="s">
        <v>145</v>
      </c>
      <c r="F17" s="38"/>
      <c r="G17" s="39"/>
    </row>
    <row r="18" spans="1:8" ht="62.1" customHeight="1" x14ac:dyDescent="0.25">
      <c r="A18" s="5">
        <v>13</v>
      </c>
      <c r="B18" s="6" t="s">
        <v>146</v>
      </c>
      <c r="C18" s="6" t="s">
        <v>147</v>
      </c>
      <c r="D18" s="8" t="s">
        <v>108</v>
      </c>
      <c r="E18" s="8" t="s">
        <v>148</v>
      </c>
      <c r="F18" s="38"/>
      <c r="G18" s="39"/>
    </row>
    <row r="19" spans="1:8" ht="62.1" customHeight="1" x14ac:dyDescent="0.25">
      <c r="A19" s="5">
        <v>14</v>
      </c>
      <c r="B19" s="6" t="s">
        <v>149</v>
      </c>
      <c r="C19" s="6" t="s">
        <v>150</v>
      </c>
      <c r="D19" s="8" t="s">
        <v>115</v>
      </c>
      <c r="E19" s="8" t="s">
        <v>116</v>
      </c>
      <c r="F19" s="38" t="s">
        <v>117</v>
      </c>
      <c r="G19" s="39"/>
    </row>
    <row r="20" spans="1:8" ht="62.1" customHeight="1" x14ac:dyDescent="0.25">
      <c r="A20" s="5">
        <v>15</v>
      </c>
      <c r="B20" s="6" t="s">
        <v>151</v>
      </c>
      <c r="C20" s="6" t="s">
        <v>152</v>
      </c>
      <c r="D20" s="8" t="s">
        <v>153</v>
      </c>
      <c r="E20" s="8" t="s">
        <v>154</v>
      </c>
      <c r="F20" s="38"/>
      <c r="G20" s="39"/>
    </row>
    <row r="21" spans="1:8" ht="62.1" customHeight="1" x14ac:dyDescent="0.25">
      <c r="A21" s="5">
        <v>16</v>
      </c>
      <c r="B21" s="6" t="s">
        <v>155</v>
      </c>
      <c r="C21" s="6" t="s">
        <v>577</v>
      </c>
      <c r="D21" s="8" t="s">
        <v>108</v>
      </c>
      <c r="E21" s="8" t="s">
        <v>156</v>
      </c>
      <c r="F21" s="38"/>
      <c r="G21" s="39"/>
    </row>
    <row r="22" spans="1:8" ht="62.1" customHeight="1" x14ac:dyDescent="0.25">
      <c r="A22" s="5">
        <v>17</v>
      </c>
      <c r="B22" s="6" t="s">
        <v>157</v>
      </c>
      <c r="C22" s="6" t="s">
        <v>158</v>
      </c>
      <c r="D22" s="8" t="s">
        <v>159</v>
      </c>
      <c r="E22" s="8" t="s">
        <v>160</v>
      </c>
      <c r="F22" s="38"/>
      <c r="G22" s="39"/>
    </row>
    <row r="24" spans="1:8" x14ac:dyDescent="0.25">
      <c r="A24" s="13" t="s">
        <v>161</v>
      </c>
    </row>
    <row r="25" spans="1:8" x14ac:dyDescent="0.25">
      <c r="A25" s="4" t="s">
        <v>162</v>
      </c>
      <c r="B25" s="4" t="s">
        <v>163</v>
      </c>
      <c r="C25" s="42" t="s">
        <v>164</v>
      </c>
      <c r="D25" s="39"/>
      <c r="E25" s="42" t="s">
        <v>165</v>
      </c>
      <c r="F25" s="41"/>
      <c r="G25" s="41"/>
      <c r="H25" s="39"/>
    </row>
    <row r="26" spans="1:8" ht="21.95" customHeight="1" x14ac:dyDescent="0.25">
      <c r="A26" s="8" t="s">
        <v>26</v>
      </c>
      <c r="B26" s="8" t="s">
        <v>166</v>
      </c>
      <c r="C26" s="40" t="s">
        <v>167</v>
      </c>
      <c r="D26" s="39"/>
      <c r="E26" s="40" t="s">
        <v>26</v>
      </c>
      <c r="F26" s="41"/>
      <c r="G26" s="41"/>
      <c r="H26" s="39"/>
    </row>
    <row r="27" spans="1:8" ht="21.95" customHeight="1" x14ac:dyDescent="0.25">
      <c r="A27" s="8" t="s">
        <v>31</v>
      </c>
      <c r="B27" s="8" t="s">
        <v>166</v>
      </c>
      <c r="C27" s="40" t="s">
        <v>168</v>
      </c>
      <c r="D27" s="39"/>
      <c r="E27" s="40" t="s">
        <v>31</v>
      </c>
      <c r="F27" s="41"/>
      <c r="G27" s="41"/>
      <c r="H27" s="39"/>
    </row>
    <row r="28" spans="1:8" ht="21.95" customHeight="1" x14ac:dyDescent="0.25">
      <c r="A28" s="8" t="s">
        <v>36</v>
      </c>
      <c r="B28" s="8" t="s">
        <v>166</v>
      </c>
      <c r="C28" s="40" t="s">
        <v>169</v>
      </c>
      <c r="D28" s="39"/>
      <c r="E28" s="40" t="s">
        <v>36</v>
      </c>
      <c r="F28" s="41"/>
      <c r="G28" s="41"/>
      <c r="H28" s="39"/>
    </row>
    <row r="29" spans="1:8" ht="21.95" customHeight="1" x14ac:dyDescent="0.25">
      <c r="A29" s="8" t="s">
        <v>41</v>
      </c>
      <c r="B29" s="8" t="s">
        <v>166</v>
      </c>
      <c r="C29" s="40" t="s">
        <v>170</v>
      </c>
      <c r="D29" s="39"/>
      <c r="E29" s="40" t="s">
        <v>41</v>
      </c>
      <c r="F29" s="41"/>
      <c r="G29" s="41"/>
      <c r="H29" s="39"/>
    </row>
    <row r="30" spans="1:8" ht="21.95" customHeight="1" x14ac:dyDescent="0.25">
      <c r="A30" s="8" t="s">
        <v>46</v>
      </c>
      <c r="B30" s="8" t="s">
        <v>166</v>
      </c>
      <c r="C30" s="40" t="s">
        <v>171</v>
      </c>
      <c r="D30" s="39"/>
      <c r="E30" s="40" t="s">
        <v>46</v>
      </c>
      <c r="F30" s="41"/>
      <c r="G30" s="41"/>
      <c r="H30" s="39"/>
    </row>
    <row r="31" spans="1:8" ht="21.95" customHeight="1" x14ac:dyDescent="0.25">
      <c r="A31" s="8" t="s">
        <v>54</v>
      </c>
      <c r="B31" s="8" t="s">
        <v>166</v>
      </c>
      <c r="C31" s="40" t="s">
        <v>172</v>
      </c>
      <c r="D31" s="39"/>
      <c r="E31" s="40" t="s">
        <v>54</v>
      </c>
      <c r="F31" s="41"/>
      <c r="G31" s="41"/>
      <c r="H31" s="39"/>
    </row>
    <row r="32" spans="1:8" ht="21.95" customHeight="1" x14ac:dyDescent="0.25">
      <c r="A32" s="8" t="s">
        <v>59</v>
      </c>
      <c r="B32" s="8" t="s">
        <v>166</v>
      </c>
      <c r="C32" s="40" t="s">
        <v>173</v>
      </c>
      <c r="D32" s="39"/>
      <c r="E32" s="40" t="s">
        <v>59</v>
      </c>
      <c r="F32" s="41"/>
      <c r="G32" s="41"/>
      <c r="H32" s="39"/>
    </row>
    <row r="33" spans="1:8" ht="21.95" customHeight="1" x14ac:dyDescent="0.25">
      <c r="A33" s="8" t="s">
        <v>50</v>
      </c>
      <c r="B33" s="8" t="s">
        <v>166</v>
      </c>
      <c r="C33" s="40" t="s">
        <v>174</v>
      </c>
      <c r="D33" s="39"/>
      <c r="E33" s="40" t="s">
        <v>50</v>
      </c>
      <c r="F33" s="41"/>
      <c r="G33" s="41"/>
      <c r="H33" s="39"/>
    </row>
    <row r="34" spans="1:8" ht="21.95" customHeight="1" x14ac:dyDescent="0.25">
      <c r="A34" s="8" t="s">
        <v>64</v>
      </c>
      <c r="B34" s="8" t="s">
        <v>166</v>
      </c>
      <c r="C34" s="40" t="s">
        <v>175</v>
      </c>
      <c r="D34" s="39"/>
      <c r="E34" s="40" t="s">
        <v>64</v>
      </c>
      <c r="F34" s="41"/>
      <c r="G34" s="41"/>
      <c r="H34" s="39"/>
    </row>
    <row r="35" spans="1:8" ht="21.95" customHeight="1" x14ac:dyDescent="0.25">
      <c r="A35" s="8" t="s">
        <v>86</v>
      </c>
      <c r="B35" s="8" t="s">
        <v>166</v>
      </c>
      <c r="C35" s="40" t="s">
        <v>176</v>
      </c>
      <c r="D35" s="39"/>
      <c r="E35" s="40" t="s">
        <v>86</v>
      </c>
      <c r="F35" s="41"/>
      <c r="G35" s="41"/>
      <c r="H35" s="39"/>
    </row>
    <row r="36" spans="1:8" ht="21.95" customHeight="1" x14ac:dyDescent="0.25">
      <c r="A36" s="8" t="s">
        <v>89</v>
      </c>
      <c r="B36" s="8" t="s">
        <v>166</v>
      </c>
      <c r="C36" s="40" t="s">
        <v>177</v>
      </c>
      <c r="D36" s="39"/>
      <c r="E36" s="40" t="s">
        <v>89</v>
      </c>
      <c r="F36" s="41"/>
      <c r="G36" s="41"/>
      <c r="H36" s="39"/>
    </row>
    <row r="37" spans="1:8" ht="21.95" customHeight="1" x14ac:dyDescent="0.25">
      <c r="A37" s="8" t="s">
        <v>69</v>
      </c>
      <c r="B37" s="8" t="s">
        <v>166</v>
      </c>
      <c r="C37" s="40" t="s">
        <v>178</v>
      </c>
      <c r="D37" s="39"/>
      <c r="E37" s="40" t="s">
        <v>69</v>
      </c>
      <c r="F37" s="41"/>
      <c r="G37" s="41"/>
      <c r="H37" s="39"/>
    </row>
    <row r="38" spans="1:8" ht="21.95" customHeight="1" x14ac:dyDescent="0.25">
      <c r="A38" s="8" t="s">
        <v>74</v>
      </c>
      <c r="B38" s="8" t="s">
        <v>166</v>
      </c>
      <c r="C38" s="40" t="s">
        <v>179</v>
      </c>
      <c r="D38" s="39"/>
      <c r="E38" s="40" t="s">
        <v>74</v>
      </c>
      <c r="F38" s="41"/>
      <c r="G38" s="41"/>
      <c r="H38" s="39"/>
    </row>
    <row r="39" spans="1:8" ht="21.95" customHeight="1" x14ac:dyDescent="0.25">
      <c r="A39" s="8" t="s">
        <v>79</v>
      </c>
      <c r="B39" s="8" t="s">
        <v>166</v>
      </c>
      <c r="C39" s="40" t="s">
        <v>180</v>
      </c>
      <c r="D39" s="39"/>
      <c r="E39" s="40" t="s">
        <v>79</v>
      </c>
      <c r="F39" s="41"/>
      <c r="G39" s="41"/>
      <c r="H39" s="39"/>
    </row>
    <row r="40" spans="1:8" ht="21.95" customHeight="1" x14ac:dyDescent="0.25">
      <c r="A40" s="8" t="s">
        <v>83</v>
      </c>
      <c r="B40" s="8" t="s">
        <v>166</v>
      </c>
      <c r="C40" s="40" t="s">
        <v>181</v>
      </c>
      <c r="D40" s="39"/>
      <c r="E40" s="40" t="s">
        <v>83</v>
      </c>
      <c r="F40" s="41"/>
      <c r="G40" s="41"/>
      <c r="H40" s="39"/>
    </row>
    <row r="41" spans="1:8" ht="21.95" customHeight="1" x14ac:dyDescent="0.25">
      <c r="A41" s="8" t="s">
        <v>182</v>
      </c>
      <c r="B41" s="8" t="s">
        <v>166</v>
      </c>
      <c r="C41" s="40" t="s">
        <v>183</v>
      </c>
      <c r="D41" s="39"/>
      <c r="E41" s="40" t="s">
        <v>182</v>
      </c>
      <c r="F41" s="41"/>
      <c r="G41" s="41"/>
      <c r="H41" s="39"/>
    </row>
  </sheetData>
  <mergeCells count="52">
    <mergeCell ref="F6:G6"/>
    <mergeCell ref="E33:H33"/>
    <mergeCell ref="E35:H35"/>
    <mergeCell ref="F5:G5"/>
    <mergeCell ref="F14:G14"/>
    <mergeCell ref="E28:H28"/>
    <mergeCell ref="E30:H30"/>
    <mergeCell ref="F8:G8"/>
    <mergeCell ref="C26:D26"/>
    <mergeCell ref="F17:G17"/>
    <mergeCell ref="C35:D35"/>
    <mergeCell ref="C25:D25"/>
    <mergeCell ref="F10:G10"/>
    <mergeCell ref="F19:G19"/>
    <mergeCell ref="C39:D39"/>
    <mergeCell ref="C37:D37"/>
    <mergeCell ref="E39:H39"/>
    <mergeCell ref="F15:G15"/>
    <mergeCell ref="E29:H29"/>
    <mergeCell ref="C32:D32"/>
    <mergeCell ref="C38:D38"/>
    <mergeCell ref="E31:H31"/>
    <mergeCell ref="C33:D33"/>
    <mergeCell ref="E41:H41"/>
    <mergeCell ref="F13:G13"/>
    <mergeCell ref="C31:D31"/>
    <mergeCell ref="F12:G12"/>
    <mergeCell ref="C30:D30"/>
    <mergeCell ref="F7:G7"/>
    <mergeCell ref="C40:D40"/>
    <mergeCell ref="E38:H38"/>
    <mergeCell ref="E40:H40"/>
    <mergeCell ref="F16:G16"/>
    <mergeCell ref="F9:G9"/>
    <mergeCell ref="C34:D34"/>
    <mergeCell ref="E26:H26"/>
    <mergeCell ref="F11:G11"/>
    <mergeCell ref="F18:G18"/>
    <mergeCell ref="C27:D27"/>
    <mergeCell ref="C36:D36"/>
    <mergeCell ref="F20:G20"/>
    <mergeCell ref="E34:H34"/>
    <mergeCell ref="C28:D28"/>
    <mergeCell ref="F22:G22"/>
    <mergeCell ref="E27:H27"/>
    <mergeCell ref="F21:G21"/>
    <mergeCell ref="E32:H32"/>
    <mergeCell ref="E37:H37"/>
    <mergeCell ref="C41:D41"/>
    <mergeCell ref="E36:H36"/>
    <mergeCell ref="E25:H25"/>
    <mergeCell ref="C29:D29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pane ySplit="7" topLeftCell="A8" activePane="bottomLeft" state="frozen"/>
      <selection pane="bottomLeft" activeCell="C16" sqref="C16"/>
    </sheetView>
  </sheetViews>
  <sheetFormatPr defaultRowHeight="15" x14ac:dyDescent="0.25"/>
  <cols>
    <col min="1" max="1" width="16" customWidth="1"/>
    <col min="2" max="2" width="14" customWidth="1"/>
    <col min="3" max="3" width="24" customWidth="1"/>
    <col min="4" max="6" width="14" customWidth="1"/>
    <col min="7" max="8" width="18" customWidth="1"/>
    <col min="9" max="9" width="46" customWidth="1"/>
  </cols>
  <sheetData>
    <row r="1" spans="1:4" ht="16.5" x14ac:dyDescent="0.25">
      <c r="A1" s="1" t="s">
        <v>202</v>
      </c>
    </row>
    <row r="3" spans="1:4" x14ac:dyDescent="0.25">
      <c r="A3" s="30" t="s">
        <v>203</v>
      </c>
      <c r="B3" s="30" t="s">
        <v>204</v>
      </c>
      <c r="C3" s="30" t="s">
        <v>205</v>
      </c>
      <c r="D3" s="30" t="s">
        <v>206</v>
      </c>
    </row>
    <row r="4" spans="1:4" x14ac:dyDescent="0.25">
      <c r="A4" s="31" t="s">
        <v>207</v>
      </c>
      <c r="B4" s="32">
        <v>0</v>
      </c>
      <c r="C4" s="32">
        <v>25</v>
      </c>
      <c r="D4" s="32" t="s">
        <v>208</v>
      </c>
    </row>
    <row r="5" spans="1:4" x14ac:dyDescent="0.25">
      <c r="A5" s="33" t="s">
        <v>190</v>
      </c>
      <c r="B5" s="32">
        <v>25</v>
      </c>
      <c r="C5" s="32">
        <v>50</v>
      </c>
      <c r="D5" s="32" t="s">
        <v>208</v>
      </c>
    </row>
    <row r="6" spans="1:4" x14ac:dyDescent="0.25">
      <c r="A6" s="34" t="s">
        <v>188</v>
      </c>
      <c r="B6" s="32">
        <v>50</v>
      </c>
      <c r="C6" s="32">
        <v>75</v>
      </c>
      <c r="D6" s="32" t="s">
        <v>208</v>
      </c>
    </row>
    <row r="7" spans="1:4" x14ac:dyDescent="0.25">
      <c r="A7" s="35" t="s">
        <v>195</v>
      </c>
      <c r="B7" s="32">
        <v>75</v>
      </c>
      <c r="C7" s="32">
        <v>101</v>
      </c>
      <c r="D7" s="32" t="s">
        <v>208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98"/>
  <sheetViews>
    <sheetView workbookViewId="0">
      <pane ySplit="3" topLeftCell="A181" activePane="bottomLeft" state="frozen"/>
      <selection pane="bottomLeft" activeCell="A3" sqref="A3:XFD4"/>
    </sheetView>
  </sheetViews>
  <sheetFormatPr defaultRowHeight="15" x14ac:dyDescent="0.25"/>
  <cols>
    <col min="1" max="1" width="13" customWidth="1"/>
    <col min="2" max="2" width="18" customWidth="1"/>
    <col min="3" max="3" width="50" customWidth="1"/>
    <col min="4" max="4" width="14" customWidth="1"/>
    <col min="5" max="5" width="32" customWidth="1"/>
    <col min="6" max="6" width="34" customWidth="1"/>
    <col min="7" max="7" width="52" customWidth="1"/>
    <col min="8" max="8" width="9" customWidth="1"/>
    <col min="9" max="9" width="16" customWidth="1"/>
    <col min="10" max="10" width="42" customWidth="1"/>
    <col min="11" max="11" width="52" customWidth="1"/>
  </cols>
  <sheetData>
    <row r="1" spans="1:11" ht="16.5" x14ac:dyDescent="0.25">
      <c r="A1" s="1" t="s">
        <v>211</v>
      </c>
    </row>
    <row r="2" spans="1:11" x14ac:dyDescent="0.25">
      <c r="A2" s="2"/>
    </row>
    <row r="3" spans="1:11" x14ac:dyDescent="0.25">
      <c r="A3" s="4" t="s">
        <v>162</v>
      </c>
      <c r="B3" s="4" t="s">
        <v>212</v>
      </c>
      <c r="C3" s="4" t="s">
        <v>213</v>
      </c>
      <c r="D3" s="4" t="s">
        <v>210</v>
      </c>
      <c r="E3" s="4" t="s">
        <v>214</v>
      </c>
      <c r="F3" s="4" t="s">
        <v>215</v>
      </c>
      <c r="G3" s="4" t="s">
        <v>6</v>
      </c>
      <c r="H3" s="4" t="s">
        <v>216</v>
      </c>
      <c r="I3" s="4" t="s">
        <v>217</v>
      </c>
      <c r="J3" s="4" t="s">
        <v>218</v>
      </c>
      <c r="K3" s="4" t="s">
        <v>219</v>
      </c>
    </row>
    <row r="4" spans="1:11" x14ac:dyDescent="0.25">
      <c r="A4" s="43" t="s">
        <v>220</v>
      </c>
      <c r="B4" s="41"/>
      <c r="C4" s="41"/>
      <c r="D4" s="41"/>
      <c r="E4" s="41"/>
      <c r="F4" s="39"/>
      <c r="G4" s="15" t="s">
        <v>221</v>
      </c>
      <c r="H4" s="16" t="str">
        <f>IFERROR(MATCH("D6.TVO",#REF!,0),"")</f>
        <v/>
      </c>
      <c r="J4" s="45" t="s">
        <v>222</v>
      </c>
      <c r="K4" s="46"/>
    </row>
    <row r="5" spans="1:11" ht="24" x14ac:dyDescent="0.25">
      <c r="A5" s="8" t="s">
        <v>26</v>
      </c>
      <c r="B5" s="10" t="s">
        <v>223</v>
      </c>
      <c r="C5" s="10" t="str">
        <f>IFERROR(INDEX(#REF!,$H$4),"componente_1")</f>
        <v>componente_1</v>
      </c>
      <c r="D5" s="17" t="str">
        <f>IFERROR(INDEX(#REF!,$H$4),"")</f>
        <v/>
      </c>
      <c r="E5" s="18" t="s">
        <v>224</v>
      </c>
      <c r="F5" s="36" t="s">
        <v>225</v>
      </c>
      <c r="G5" s="19" t="str">
        <f>IFERROR("anno "&amp;INDEX(#REF!,$H$4),"")</f>
        <v/>
      </c>
      <c r="I5" s="12" t="s">
        <v>226</v>
      </c>
      <c r="J5" s="8" t="s">
        <v>227</v>
      </c>
      <c r="K5" s="8" t="s">
        <v>228</v>
      </c>
    </row>
    <row r="6" spans="1:11" ht="25.5" x14ac:dyDescent="0.25">
      <c r="A6" s="6"/>
      <c r="B6" s="10" t="s">
        <v>223</v>
      </c>
      <c r="C6" s="10" t="str">
        <f>IFERROR(INDEX(#REF!,$H$4),"componente_2")</f>
        <v>componente_2</v>
      </c>
      <c r="D6" s="17" t="str">
        <f>IFERROR(INDEX(#REF!,$H$4),"")</f>
        <v/>
      </c>
      <c r="E6" s="18" t="s">
        <v>229</v>
      </c>
      <c r="F6" s="36" t="s">
        <v>230</v>
      </c>
      <c r="G6" s="19" t="str">
        <f>IFERROR("anno "&amp;INDEX(#REF!,$H$4),"")</f>
        <v/>
      </c>
      <c r="I6" s="12" t="s">
        <v>226</v>
      </c>
      <c r="J6" s="8" t="s">
        <v>231</v>
      </c>
      <c r="K6" s="8" t="s">
        <v>232</v>
      </c>
    </row>
    <row r="7" spans="1:11" ht="24" x14ac:dyDescent="0.25">
      <c r="A7" s="6"/>
      <c r="B7" s="10" t="s">
        <v>223</v>
      </c>
      <c r="C7" s="20" t="str">
        <f>"TVO = "&amp;IFERROR(INDEX(#REF!,$H$4),"")</f>
        <v xml:space="preserve">TVO = </v>
      </c>
      <c r="D7" s="21" t="str">
        <f>IFERROR(INDEX(#REF!,$H$4),"")</f>
        <v/>
      </c>
      <c r="E7" s="18" t="s">
        <v>233</v>
      </c>
      <c r="F7" s="36" t="s">
        <v>234</v>
      </c>
      <c r="G7" s="19" t="str">
        <f>IFERROR(INDEX(#REF!,$H$4),"")</f>
        <v/>
      </c>
      <c r="I7" s="12" t="s">
        <v>226</v>
      </c>
      <c r="J7" s="8" t="s">
        <v>235</v>
      </c>
      <c r="K7" s="8" t="s">
        <v>236</v>
      </c>
    </row>
    <row r="8" spans="1:11" ht="24" x14ac:dyDescent="0.25">
      <c r="A8" s="6"/>
      <c r="B8" s="9" t="s">
        <v>237</v>
      </c>
      <c r="C8" s="9" t="s">
        <v>238</v>
      </c>
      <c r="D8" s="22" t="str">
        <f>IFERROR($D$7,"")</f>
        <v/>
      </c>
      <c r="E8" s="23" t="s">
        <v>239</v>
      </c>
      <c r="F8" s="37" t="s">
        <v>240</v>
      </c>
      <c r="G8" s="6"/>
      <c r="I8" s="12" t="s">
        <v>226</v>
      </c>
      <c r="J8" s="8" t="s">
        <v>241</v>
      </c>
      <c r="K8" s="8" t="s">
        <v>236</v>
      </c>
    </row>
    <row r="9" spans="1:11" ht="25.5" x14ac:dyDescent="0.25">
      <c r="A9" s="6"/>
      <c r="B9" s="9" t="s">
        <v>237</v>
      </c>
      <c r="C9" s="9" t="s">
        <v>242</v>
      </c>
      <c r="D9" s="22" t="str">
        <f>IFERROR(((2+$D$8)/(2-$D$8))^(1/3),"")</f>
        <v/>
      </c>
      <c r="E9" s="23" t="s">
        <v>243</v>
      </c>
      <c r="F9" s="37" t="s">
        <v>240</v>
      </c>
      <c r="G9" s="6"/>
      <c r="I9" s="7" t="s">
        <v>244</v>
      </c>
      <c r="J9" s="8" t="s">
        <v>245</v>
      </c>
      <c r="K9" s="8" t="s">
        <v>246</v>
      </c>
    </row>
    <row r="10" spans="1:11" ht="25.5" x14ac:dyDescent="0.25">
      <c r="A10" s="6"/>
      <c r="B10" s="9" t="s">
        <v>237</v>
      </c>
      <c r="C10" s="9" t="s">
        <v>247</v>
      </c>
      <c r="D10" s="22" t="str">
        <f>IFERROR(2*($D$9-1)/($D$9+1),"")</f>
        <v/>
      </c>
      <c r="E10" s="23" t="s">
        <v>243</v>
      </c>
      <c r="F10" s="37" t="s">
        <v>240</v>
      </c>
      <c r="G10" s="6"/>
      <c r="I10" s="7" t="s">
        <v>244</v>
      </c>
      <c r="J10" s="8" t="s">
        <v>245</v>
      </c>
      <c r="K10" s="8" t="s">
        <v>248</v>
      </c>
    </row>
    <row r="11" spans="1:11" ht="24" x14ac:dyDescent="0.25">
      <c r="A11" s="6"/>
      <c r="B11" s="9" t="s">
        <v>237</v>
      </c>
      <c r="C11" s="9" t="s">
        <v>249</v>
      </c>
      <c r="D11" s="24" t="str">
        <f>IFERROR(INDEX(#REF!,$H$4),"")</f>
        <v/>
      </c>
      <c r="E11" s="23" t="s">
        <v>250</v>
      </c>
      <c r="F11" s="37" t="s">
        <v>240</v>
      </c>
      <c r="G11" s="6"/>
      <c r="I11" s="12" t="s">
        <v>226</v>
      </c>
      <c r="J11" s="8" t="s">
        <v>251</v>
      </c>
      <c r="K11" s="8" t="s">
        <v>252</v>
      </c>
    </row>
    <row r="12" spans="1:11" ht="25.5" x14ac:dyDescent="0.25">
      <c r="A12" s="6"/>
      <c r="B12" s="9" t="s">
        <v>237</v>
      </c>
      <c r="C12" s="14" t="s">
        <v>253</v>
      </c>
      <c r="D12" s="25" t="str">
        <f>IFERROR(MAX(1,ROUND(100*(MIN(1,MAX(0,0.5+0.5*MAX(-1,MIN(1,$D$10/$D$11))))),0))/100,"")</f>
        <v/>
      </c>
      <c r="E12" s="23" t="s">
        <v>254</v>
      </c>
      <c r="F12" s="19" t="s">
        <v>255</v>
      </c>
      <c r="G12" s="19" t="str">
        <f>IFERROR("formula_score: "&amp;INDEX(#REF!,$H$4),"")</f>
        <v/>
      </c>
      <c r="I12" s="7" t="s">
        <v>244</v>
      </c>
      <c r="J12" s="8" t="s">
        <v>256</v>
      </c>
      <c r="K12" s="8" t="s">
        <v>257</v>
      </c>
    </row>
    <row r="13" spans="1:11" ht="24" x14ac:dyDescent="0.25">
      <c r="A13" s="6"/>
      <c r="B13" s="9" t="s">
        <v>258</v>
      </c>
      <c r="C13" s="14" t="s">
        <v>259</v>
      </c>
      <c r="D13" s="25" t="str">
        <f>IFERROR(INDEX(#REF!,$H$4)/100,"")</f>
        <v/>
      </c>
      <c r="E13" s="23" t="s">
        <v>121</v>
      </c>
      <c r="F13" s="36" t="s">
        <v>260</v>
      </c>
      <c r="G13" s="19" t="s">
        <v>261</v>
      </c>
      <c r="I13" s="12" t="s">
        <v>226</v>
      </c>
      <c r="J13" s="8" t="s">
        <v>262</v>
      </c>
      <c r="K13" s="8" t="s">
        <v>263</v>
      </c>
    </row>
    <row r="14" spans="1:11" ht="24" x14ac:dyDescent="0.25">
      <c r="A14" s="6"/>
      <c r="B14" s="9" t="s">
        <v>203</v>
      </c>
      <c r="C14" s="14" t="s">
        <v>264</v>
      </c>
      <c r="D14" s="26" t="str">
        <f>IFERROR(""&amp;INDEX(#REF!,$H$4),"")</f>
        <v/>
      </c>
      <c r="E14" s="23" t="s">
        <v>265</v>
      </c>
      <c r="F14" s="36" t="s">
        <v>184</v>
      </c>
      <c r="G14" s="19" t="s">
        <v>266</v>
      </c>
      <c r="I14" s="12" t="s">
        <v>226</v>
      </c>
      <c r="J14" s="8" t="s">
        <v>267</v>
      </c>
      <c r="K14" s="8" t="s">
        <v>268</v>
      </c>
    </row>
    <row r="15" spans="1:11" ht="25.5" x14ac:dyDescent="0.25">
      <c r="A15" s="6"/>
      <c r="B15" s="6" t="s">
        <v>269</v>
      </c>
      <c r="C15" s="6" t="s">
        <v>270</v>
      </c>
      <c r="D15" s="27" t="str">
        <f>IF(OR($D$12="",$D$13=""),"in attesa",IF(ABS($D$12-$D$13)&lt;0.005,"OK","Δ "&amp;FIXED($D$12-$D$13,2)))</f>
        <v>in attesa</v>
      </c>
      <c r="E15" s="6"/>
      <c r="F15" s="19" t="s">
        <v>255</v>
      </c>
      <c r="G15" s="19" t="s">
        <v>271</v>
      </c>
      <c r="I15" s="7" t="s">
        <v>244</v>
      </c>
      <c r="J15" s="8" t="s">
        <v>272</v>
      </c>
      <c r="K15" s="8" t="s">
        <v>273</v>
      </c>
    </row>
    <row r="16" spans="1:11" ht="45.95" customHeight="1" x14ac:dyDescent="0.25">
      <c r="A16" s="6"/>
      <c r="B16" s="6" t="s">
        <v>274</v>
      </c>
      <c r="C16" s="44" t="str">
        <f>IF($D$13="","in attesa della risposta API",IFERROR(INDEX(#REF!,$H$4),"")&amp;" · Normalizzazione: "&amp;"r = ((2 + "&amp;FIXED($D$8,4,TRUE)&amp;") / (2 − "&amp;FIXED($D$8,4,TRUE)&amp;"))^(1/3); variazione annua = "&amp;FIXED($D$10,4,TRUE)&amp;"; score = 0,5 + 0,5 × "&amp;FIXED($D$10,4,TRUE)&amp;" / "&amp;IF($D$11=INT($D$11),FIXED($D$11,0,TRUE),FIXED($D$11,1,TRUE))&amp;" → TVO ("&amp;FIXED($D$13,2)&amp;")")</f>
        <v>in attesa della risposta API</v>
      </c>
      <c r="D16" s="41"/>
      <c r="E16" s="39"/>
      <c r="F16" s="36" t="s">
        <v>275</v>
      </c>
      <c r="I16" s="7" t="s">
        <v>244</v>
      </c>
      <c r="J16" s="8" t="s">
        <v>276</v>
      </c>
      <c r="K16" s="8" t="s">
        <v>277</v>
      </c>
    </row>
    <row r="18" spans="1:11" x14ac:dyDescent="0.25">
      <c r="A18" s="43" t="s">
        <v>278</v>
      </c>
      <c r="B18" s="41"/>
      <c r="C18" s="41"/>
      <c r="D18" s="41"/>
      <c r="E18" s="41"/>
      <c r="F18" s="39"/>
      <c r="G18" s="15" t="s">
        <v>221</v>
      </c>
      <c r="H18" s="16" t="str">
        <f>IFERROR(MATCH("D6.ISG",#REF!,0),"")</f>
        <v/>
      </c>
      <c r="J18" s="45" t="s">
        <v>279</v>
      </c>
      <c r="K18" s="46"/>
    </row>
    <row r="19" spans="1:11" ht="24" x14ac:dyDescent="0.25">
      <c r="A19" s="8" t="s">
        <v>31</v>
      </c>
      <c r="B19" s="10" t="s">
        <v>223</v>
      </c>
      <c r="C19" s="10" t="str">
        <f>IFERROR(INDEX(#REF!,$H$18),"componente_1")</f>
        <v>componente_1</v>
      </c>
      <c r="D19" s="17" t="str">
        <f>IFERROR(INDEX(#REF!,$H$18),"")</f>
        <v/>
      </c>
      <c r="E19" s="18" t="s">
        <v>224</v>
      </c>
      <c r="F19" s="36" t="s">
        <v>280</v>
      </c>
      <c r="G19" s="19" t="str">
        <f>IFERROR("anno "&amp;INDEX(#REF!,$H$18),"")</f>
        <v/>
      </c>
      <c r="I19" s="12" t="s">
        <v>226</v>
      </c>
      <c r="J19" s="8" t="s">
        <v>281</v>
      </c>
      <c r="K19" s="8" t="s">
        <v>228</v>
      </c>
    </row>
    <row r="20" spans="1:11" ht="24" x14ac:dyDescent="0.25">
      <c r="A20" s="6"/>
      <c r="B20" s="10" t="s">
        <v>223</v>
      </c>
      <c r="C20" s="10" t="str">
        <f>IFERROR(INDEX(#REF!,$H$18),"componente_2")</f>
        <v>componente_2</v>
      </c>
      <c r="D20" s="17" t="str">
        <f>IFERROR(INDEX(#REF!,$H$18),"")</f>
        <v/>
      </c>
      <c r="E20" s="18" t="s">
        <v>229</v>
      </c>
      <c r="F20" s="36" t="s">
        <v>282</v>
      </c>
      <c r="G20" s="19" t="str">
        <f>IFERROR("anno "&amp;INDEX(#REF!,$H$18),"")</f>
        <v/>
      </c>
      <c r="I20" s="12" t="s">
        <v>226</v>
      </c>
      <c r="J20" s="8" t="s">
        <v>283</v>
      </c>
      <c r="K20" s="8" t="s">
        <v>232</v>
      </c>
    </row>
    <row r="21" spans="1:11" ht="25.5" x14ac:dyDescent="0.25">
      <c r="A21" s="6"/>
      <c r="B21" s="10" t="s">
        <v>223</v>
      </c>
      <c r="C21" s="20" t="str">
        <f>"ISG = "&amp;IFERROR(INDEX(#REF!,$H$18),"")</f>
        <v xml:space="preserve">ISG = </v>
      </c>
      <c r="D21" s="21" t="str">
        <f>IFERROR(INDEX(#REF!,$H$18),"")</f>
        <v/>
      </c>
      <c r="E21" s="18" t="s">
        <v>233</v>
      </c>
      <c r="F21" s="36" t="s">
        <v>185</v>
      </c>
      <c r="G21" s="19" t="str">
        <f>IFERROR(INDEX(#REF!,$H$18),"")</f>
        <v/>
      </c>
      <c r="I21" s="12" t="s">
        <v>226</v>
      </c>
      <c r="J21" s="8" t="s">
        <v>284</v>
      </c>
      <c r="K21" s="8" t="s">
        <v>236</v>
      </c>
    </row>
    <row r="22" spans="1:11" ht="25.5" x14ac:dyDescent="0.25">
      <c r="A22" s="6"/>
      <c r="B22" s="9" t="s">
        <v>237</v>
      </c>
      <c r="C22" s="9" t="s">
        <v>285</v>
      </c>
      <c r="D22" s="28" t="str">
        <f>IFERROR($D$19/$D$20,"")</f>
        <v/>
      </c>
      <c r="E22" s="23" t="s">
        <v>286</v>
      </c>
      <c r="F22" s="37" t="s">
        <v>240</v>
      </c>
      <c r="G22" s="6"/>
      <c r="I22" s="7" t="s">
        <v>244</v>
      </c>
      <c r="J22" s="8" t="s">
        <v>287</v>
      </c>
      <c r="K22" s="8" t="s">
        <v>288</v>
      </c>
    </row>
    <row r="23" spans="1:11" ht="25.5" x14ac:dyDescent="0.25">
      <c r="A23" s="6"/>
      <c r="B23" s="9" t="s">
        <v>237</v>
      </c>
      <c r="C23" s="14" t="s">
        <v>289</v>
      </c>
      <c r="D23" s="25" t="str">
        <f>IFERROR(MAX(1,ROUND(100*(1/(1+$D$22)),0))/100,"")</f>
        <v/>
      </c>
      <c r="E23" s="23" t="s">
        <v>254</v>
      </c>
      <c r="F23" s="19" t="s">
        <v>255</v>
      </c>
      <c r="G23" s="19" t="str">
        <f>IFERROR("formula_score: "&amp;INDEX(#REF!,$H$18),"")</f>
        <v/>
      </c>
      <c r="I23" s="7" t="s">
        <v>244</v>
      </c>
      <c r="J23" s="8" t="s">
        <v>256</v>
      </c>
      <c r="K23" s="8" t="s">
        <v>257</v>
      </c>
    </row>
    <row r="24" spans="1:11" ht="24" x14ac:dyDescent="0.25">
      <c r="A24" s="6"/>
      <c r="B24" s="9" t="s">
        <v>258</v>
      </c>
      <c r="C24" s="14" t="s">
        <v>290</v>
      </c>
      <c r="D24" s="25" t="str">
        <f>IFERROR(INDEX(#REF!,$H$18)/100,"")</f>
        <v/>
      </c>
      <c r="E24" s="23" t="s">
        <v>121</v>
      </c>
      <c r="F24" s="36" t="s">
        <v>291</v>
      </c>
      <c r="G24" s="19" t="s">
        <v>261</v>
      </c>
      <c r="I24" s="12" t="s">
        <v>226</v>
      </c>
      <c r="J24" s="8" t="s">
        <v>292</v>
      </c>
      <c r="K24" s="8" t="s">
        <v>263</v>
      </c>
    </row>
    <row r="25" spans="1:11" ht="24" x14ac:dyDescent="0.25">
      <c r="A25" s="6"/>
      <c r="B25" s="9" t="s">
        <v>203</v>
      </c>
      <c r="C25" s="14" t="s">
        <v>293</v>
      </c>
      <c r="D25" s="26" t="str">
        <f>IFERROR(""&amp;INDEX(#REF!,$H$18),"")</f>
        <v/>
      </c>
      <c r="E25" s="23" t="s">
        <v>265</v>
      </c>
      <c r="F25" s="36" t="s">
        <v>186</v>
      </c>
      <c r="G25" s="19" t="s">
        <v>266</v>
      </c>
      <c r="I25" s="12" t="s">
        <v>226</v>
      </c>
      <c r="J25" s="8" t="s">
        <v>294</v>
      </c>
      <c r="K25" s="8" t="s">
        <v>268</v>
      </c>
    </row>
    <row r="26" spans="1:11" ht="25.5" x14ac:dyDescent="0.25">
      <c r="A26" s="6"/>
      <c r="B26" s="6" t="s">
        <v>269</v>
      </c>
      <c r="C26" s="6" t="s">
        <v>270</v>
      </c>
      <c r="D26" s="27" t="str">
        <f>IF(OR($D$23="",$D$24=""),"in attesa",IF(ABS($D$23-$D$24)&lt;0.005,"OK","Δ "&amp;FIXED($D$23-$D$24,2)))</f>
        <v>in attesa</v>
      </c>
      <c r="E26" s="6"/>
      <c r="F26" s="19" t="s">
        <v>255</v>
      </c>
      <c r="G26" s="19" t="s">
        <v>271</v>
      </c>
      <c r="I26" s="7" t="s">
        <v>244</v>
      </c>
      <c r="J26" s="8" t="s">
        <v>272</v>
      </c>
      <c r="K26" s="8" t="s">
        <v>273</v>
      </c>
    </row>
    <row r="27" spans="1:11" ht="45.95" customHeight="1" x14ac:dyDescent="0.25">
      <c r="A27" s="6"/>
      <c r="B27" s="6" t="s">
        <v>274</v>
      </c>
      <c r="C27" s="44" t="str">
        <f>IF($D$24="","in attesa della risposta API",IFERROR(INDEX(#REF!,$H$18),"")&amp;" · Normalizzazione: "&amp;"score = 1 / (1 + "&amp;FIXED($D$22,2,TRUE)&amp;")"&amp;" → ISG ("&amp;FIXED($D$24,2)&amp;")")</f>
        <v>in attesa della risposta API</v>
      </c>
      <c r="D27" s="41"/>
      <c r="E27" s="39"/>
      <c r="F27" s="36" t="s">
        <v>295</v>
      </c>
      <c r="I27" s="7" t="s">
        <v>244</v>
      </c>
      <c r="J27" s="8" t="s">
        <v>296</v>
      </c>
      <c r="K27" s="8" t="s">
        <v>277</v>
      </c>
    </row>
    <row r="29" spans="1:11" x14ac:dyDescent="0.25">
      <c r="A29" s="43" t="s">
        <v>297</v>
      </c>
      <c r="B29" s="41"/>
      <c r="C29" s="41"/>
      <c r="D29" s="41"/>
      <c r="E29" s="41"/>
      <c r="F29" s="39"/>
      <c r="G29" s="15" t="s">
        <v>221</v>
      </c>
      <c r="H29" s="16" t="str">
        <f>IFERROR(MATCH("D6.TEP",#REF!,0),"")</f>
        <v/>
      </c>
      <c r="J29" s="45" t="s">
        <v>298</v>
      </c>
      <c r="K29" s="46"/>
    </row>
    <row r="30" spans="1:11" ht="24" x14ac:dyDescent="0.25">
      <c r="A30" s="8" t="s">
        <v>36</v>
      </c>
      <c r="B30" s="10" t="s">
        <v>223</v>
      </c>
      <c r="C30" s="10" t="str">
        <f>IFERROR(INDEX(#REF!,$H$29),"componente_1")</f>
        <v>componente_1</v>
      </c>
      <c r="D30" s="17" t="str">
        <f>IFERROR(INDEX(#REF!,$H$29),"")</f>
        <v/>
      </c>
      <c r="E30" s="18" t="s">
        <v>224</v>
      </c>
      <c r="F30" s="36" t="s">
        <v>299</v>
      </c>
      <c r="G30" s="19" t="str">
        <f>IFERROR("anno "&amp;INDEX(#REF!,$H$29),"")</f>
        <v/>
      </c>
      <c r="I30" s="12" t="s">
        <v>226</v>
      </c>
      <c r="J30" s="8" t="s">
        <v>300</v>
      </c>
      <c r="K30" s="8" t="s">
        <v>228</v>
      </c>
    </row>
    <row r="31" spans="1:11" ht="25.5" x14ac:dyDescent="0.25">
      <c r="A31" s="6"/>
      <c r="B31" s="10" t="s">
        <v>223</v>
      </c>
      <c r="C31" s="10" t="str">
        <f>IFERROR(INDEX(#REF!,$H$29),"componente_2")</f>
        <v>componente_2</v>
      </c>
      <c r="D31" s="17" t="str">
        <f>IFERROR(INDEX(#REF!,$H$29),"")</f>
        <v/>
      </c>
      <c r="E31" s="18" t="s">
        <v>229</v>
      </c>
      <c r="F31" s="36" t="s">
        <v>301</v>
      </c>
      <c r="G31" s="19" t="str">
        <f>IFERROR("anno "&amp;INDEX(#REF!,$H$29),"")</f>
        <v/>
      </c>
      <c r="I31" s="12" t="s">
        <v>226</v>
      </c>
      <c r="J31" s="8" t="s">
        <v>302</v>
      </c>
      <c r="K31" s="8" t="s">
        <v>232</v>
      </c>
    </row>
    <row r="32" spans="1:11" ht="24" x14ac:dyDescent="0.25">
      <c r="A32" s="6"/>
      <c r="B32" s="10" t="s">
        <v>223</v>
      </c>
      <c r="C32" s="20" t="str">
        <f>"TEP = "&amp;IFERROR(INDEX(#REF!,$H$29),"")</f>
        <v xml:space="preserve">TEP = </v>
      </c>
      <c r="D32" s="21" t="str">
        <f>IFERROR(INDEX(#REF!,$H$29),"")</f>
        <v/>
      </c>
      <c r="E32" s="18" t="s">
        <v>233</v>
      </c>
      <c r="F32" s="36" t="s">
        <v>303</v>
      </c>
      <c r="G32" s="19" t="str">
        <f>IFERROR(INDEX(#REF!,$H$29),"")</f>
        <v/>
      </c>
      <c r="I32" s="12" t="s">
        <v>226</v>
      </c>
      <c r="J32" s="8" t="s">
        <v>304</v>
      </c>
      <c r="K32" s="8" t="s">
        <v>236</v>
      </c>
    </row>
    <row r="33" spans="1:11" ht="25.5" x14ac:dyDescent="0.25">
      <c r="A33" s="6"/>
      <c r="B33" s="9" t="s">
        <v>237</v>
      </c>
      <c r="C33" s="9" t="s">
        <v>305</v>
      </c>
      <c r="D33" s="29" t="str">
        <f>IFERROR($D$30/$D$31,"")</f>
        <v/>
      </c>
      <c r="E33" s="23" t="s">
        <v>286</v>
      </c>
      <c r="F33" s="37" t="s">
        <v>240</v>
      </c>
      <c r="G33" s="6"/>
      <c r="I33" s="7" t="s">
        <v>244</v>
      </c>
      <c r="J33" s="8" t="s">
        <v>306</v>
      </c>
      <c r="K33" s="8" t="s">
        <v>288</v>
      </c>
    </row>
    <row r="34" spans="1:11" ht="25.5" x14ac:dyDescent="0.25">
      <c r="A34" s="6"/>
      <c r="B34" s="9" t="s">
        <v>237</v>
      </c>
      <c r="C34" s="14" t="s">
        <v>307</v>
      </c>
      <c r="D34" s="25" t="str">
        <f>IFERROR(MAX(1,ROUND(100*(MIN(1,MAX(0,1-$D$33))),0))/100,"")</f>
        <v/>
      </c>
      <c r="E34" s="23" t="s">
        <v>254</v>
      </c>
      <c r="F34" s="19" t="s">
        <v>255</v>
      </c>
      <c r="G34" s="19" t="str">
        <f>IFERROR("formula_score: "&amp;INDEX(#REF!,$H$29),"")</f>
        <v/>
      </c>
      <c r="I34" s="7" t="s">
        <v>244</v>
      </c>
      <c r="J34" s="8" t="s">
        <v>256</v>
      </c>
      <c r="K34" s="8" t="s">
        <v>257</v>
      </c>
    </row>
    <row r="35" spans="1:11" ht="24" x14ac:dyDescent="0.25">
      <c r="A35" s="6"/>
      <c r="B35" s="9" t="s">
        <v>258</v>
      </c>
      <c r="C35" s="14" t="s">
        <v>308</v>
      </c>
      <c r="D35" s="25" t="str">
        <f>IFERROR(INDEX(#REF!,$H$29)/100,"")</f>
        <v/>
      </c>
      <c r="E35" s="23" t="s">
        <v>121</v>
      </c>
      <c r="F35" s="36" t="s">
        <v>309</v>
      </c>
      <c r="G35" s="19" t="s">
        <v>261</v>
      </c>
      <c r="I35" s="12" t="s">
        <v>226</v>
      </c>
      <c r="J35" s="8" t="s">
        <v>310</v>
      </c>
      <c r="K35" s="8" t="s">
        <v>263</v>
      </c>
    </row>
    <row r="36" spans="1:11" ht="24" x14ac:dyDescent="0.25">
      <c r="A36" s="6"/>
      <c r="B36" s="9" t="s">
        <v>203</v>
      </c>
      <c r="C36" s="14" t="s">
        <v>311</v>
      </c>
      <c r="D36" s="26" t="str">
        <f>IFERROR(""&amp;INDEX(#REF!,$H$29),"")</f>
        <v/>
      </c>
      <c r="E36" s="23" t="s">
        <v>265</v>
      </c>
      <c r="F36" s="36" t="s">
        <v>186</v>
      </c>
      <c r="G36" s="19" t="s">
        <v>266</v>
      </c>
      <c r="I36" s="12" t="s">
        <v>226</v>
      </c>
      <c r="J36" s="8" t="s">
        <v>312</v>
      </c>
      <c r="K36" s="8" t="s">
        <v>268</v>
      </c>
    </row>
    <row r="37" spans="1:11" ht="25.5" x14ac:dyDescent="0.25">
      <c r="A37" s="6"/>
      <c r="B37" s="6" t="s">
        <v>269</v>
      </c>
      <c r="C37" s="6" t="s">
        <v>270</v>
      </c>
      <c r="D37" s="27" t="str">
        <f>IF(OR($D$34="",$D$35=""),"in attesa",IF(ABS($D$34-$D$35)&lt;0.005,"OK","Δ "&amp;FIXED($D$34-$D$35,2)))</f>
        <v>in attesa</v>
      </c>
      <c r="E37" s="6"/>
      <c r="F37" s="19" t="s">
        <v>255</v>
      </c>
      <c r="G37" s="19" t="s">
        <v>271</v>
      </c>
      <c r="I37" s="7" t="s">
        <v>244</v>
      </c>
      <c r="J37" s="8" t="s">
        <v>272</v>
      </c>
      <c r="K37" s="8" t="s">
        <v>273</v>
      </c>
    </row>
    <row r="38" spans="1:11" ht="45.95" customHeight="1" x14ac:dyDescent="0.25">
      <c r="A38" s="6"/>
      <c r="B38" s="6" t="s">
        <v>274</v>
      </c>
      <c r="C38" s="44" t="str">
        <f>IF($D$35="","in attesa della risposta API",IFERROR(INDEX(#REF!,$H$29),"")&amp;" · Normalizzazione: "&amp;"score = 1 − "&amp;FIXED($D$33,3,TRUE)&amp;" → TEP ("&amp;FIXED($D$35,2)&amp;")")</f>
        <v>in attesa della risposta API</v>
      </c>
      <c r="D38" s="41"/>
      <c r="E38" s="39"/>
      <c r="F38" s="36" t="s">
        <v>313</v>
      </c>
      <c r="I38" s="7" t="s">
        <v>244</v>
      </c>
      <c r="J38" s="8" t="s">
        <v>314</v>
      </c>
      <c r="K38" s="8" t="s">
        <v>277</v>
      </c>
    </row>
    <row r="40" spans="1:11" x14ac:dyDescent="0.25">
      <c r="A40" s="43" t="s">
        <v>315</v>
      </c>
      <c r="B40" s="41"/>
      <c r="C40" s="41"/>
      <c r="D40" s="41"/>
      <c r="E40" s="41"/>
      <c r="F40" s="39"/>
      <c r="G40" s="15" t="s">
        <v>221</v>
      </c>
      <c r="H40" s="16" t="str">
        <f>IFERROR(MATCH("D6.IQP",#REF!,0),"")</f>
        <v/>
      </c>
      <c r="J40" s="45" t="s">
        <v>316</v>
      </c>
      <c r="K40" s="46"/>
    </row>
    <row r="41" spans="1:11" ht="25.5" x14ac:dyDescent="0.25">
      <c r="A41" s="8" t="s">
        <v>41</v>
      </c>
      <c r="B41" s="10" t="s">
        <v>223</v>
      </c>
      <c r="C41" s="10" t="str">
        <f>IFERROR(INDEX(#REF!,$H$40),"componente_1")</f>
        <v>componente_1</v>
      </c>
      <c r="D41" s="17" t="str">
        <f>IFERROR(INDEX(#REF!,$H$40),"")</f>
        <v/>
      </c>
      <c r="E41" s="18" t="s">
        <v>224</v>
      </c>
      <c r="F41" s="36" t="s">
        <v>317</v>
      </c>
      <c r="G41" s="19" t="str">
        <f>IFERROR("anno "&amp;INDEX(#REF!,$H$40),"")</f>
        <v/>
      </c>
      <c r="I41" s="12" t="s">
        <v>226</v>
      </c>
      <c r="J41" s="8" t="s">
        <v>318</v>
      </c>
      <c r="K41" s="8" t="s">
        <v>228</v>
      </c>
    </row>
    <row r="42" spans="1:11" ht="24" x14ac:dyDescent="0.25">
      <c r="A42" s="6"/>
      <c r="B42" s="10" t="s">
        <v>223</v>
      </c>
      <c r="C42" s="10" t="str">
        <f>IFERROR(INDEX(#REF!,$H$40),"componente_2")</f>
        <v>componente_2</v>
      </c>
      <c r="D42" s="17" t="str">
        <f>IFERROR(INDEX(#REF!,$H$40),"")</f>
        <v/>
      </c>
      <c r="E42" s="18" t="s">
        <v>229</v>
      </c>
      <c r="F42" s="36" t="s">
        <v>319</v>
      </c>
      <c r="G42" s="19" t="str">
        <f>IFERROR("anno "&amp;INDEX(#REF!,$H$40),"")</f>
        <v/>
      </c>
      <c r="I42" s="12" t="s">
        <v>226</v>
      </c>
      <c r="J42" s="8" t="s">
        <v>320</v>
      </c>
      <c r="K42" s="8" t="s">
        <v>232</v>
      </c>
    </row>
    <row r="43" spans="1:11" ht="24" x14ac:dyDescent="0.25">
      <c r="A43" s="6"/>
      <c r="B43" s="10" t="s">
        <v>223</v>
      </c>
      <c r="C43" s="20" t="str">
        <f>"IQP = "&amp;IFERROR(INDEX(#REF!,$H$40),"")</f>
        <v xml:space="preserve">IQP = </v>
      </c>
      <c r="D43" s="21" t="str">
        <f>IFERROR(INDEX(#REF!,$H$40),"")</f>
        <v/>
      </c>
      <c r="E43" s="18" t="s">
        <v>233</v>
      </c>
      <c r="F43" s="36" t="s">
        <v>187</v>
      </c>
      <c r="G43" s="19" t="str">
        <f>IFERROR(INDEX(#REF!,$H$40),"")</f>
        <v/>
      </c>
      <c r="I43" s="12" t="s">
        <v>226</v>
      </c>
      <c r="J43" s="8" t="s">
        <v>321</v>
      </c>
      <c r="K43" s="8" t="s">
        <v>236</v>
      </c>
    </row>
    <row r="44" spans="1:11" ht="25.5" x14ac:dyDescent="0.25">
      <c r="A44" s="6"/>
      <c r="B44" s="9" t="s">
        <v>237</v>
      </c>
      <c r="C44" s="9" t="s">
        <v>322</v>
      </c>
      <c r="D44" s="29" t="str">
        <f>IFERROR($D$41/$D$42,"")</f>
        <v/>
      </c>
      <c r="E44" s="23" t="s">
        <v>286</v>
      </c>
      <c r="F44" s="37" t="s">
        <v>240</v>
      </c>
      <c r="G44" s="6"/>
      <c r="I44" s="7" t="s">
        <v>244</v>
      </c>
      <c r="J44" s="8" t="s">
        <v>323</v>
      </c>
      <c r="K44" s="8" t="s">
        <v>288</v>
      </c>
    </row>
    <row r="45" spans="1:11" ht="24" x14ac:dyDescent="0.25">
      <c r="A45" s="6"/>
      <c r="B45" s="9" t="s">
        <v>237</v>
      </c>
      <c r="C45" s="9" t="s">
        <v>324</v>
      </c>
      <c r="D45" s="24" t="str">
        <f>IFERROR(INDEX(#REF!,$H$40),"")</f>
        <v/>
      </c>
      <c r="E45" s="23" t="s">
        <v>250</v>
      </c>
      <c r="F45" s="37" t="s">
        <v>240</v>
      </c>
      <c r="G45" s="6"/>
      <c r="I45" s="12" t="s">
        <v>226</v>
      </c>
      <c r="J45" s="8" t="s">
        <v>325</v>
      </c>
      <c r="K45" s="8" t="s">
        <v>252</v>
      </c>
    </row>
    <row r="46" spans="1:11" ht="25.5" x14ac:dyDescent="0.25">
      <c r="A46" s="6"/>
      <c r="B46" s="9" t="s">
        <v>237</v>
      </c>
      <c r="C46" s="14" t="s">
        <v>326</v>
      </c>
      <c r="D46" s="25" t="str">
        <f>IFERROR(MAX(1,ROUND(100*(MIN(1,MAX(0,$D$44/$D$45))),0))/100,"")</f>
        <v/>
      </c>
      <c r="E46" s="23" t="s">
        <v>254</v>
      </c>
      <c r="F46" s="19" t="s">
        <v>255</v>
      </c>
      <c r="G46" s="19" t="str">
        <f>IFERROR("formula_score: "&amp;INDEX(#REF!,$H$40),"")</f>
        <v/>
      </c>
      <c r="I46" s="7" t="s">
        <v>244</v>
      </c>
      <c r="J46" s="8" t="s">
        <v>256</v>
      </c>
      <c r="K46" s="8" t="s">
        <v>257</v>
      </c>
    </row>
    <row r="47" spans="1:11" ht="24" x14ac:dyDescent="0.25">
      <c r="A47" s="6"/>
      <c r="B47" s="9" t="s">
        <v>258</v>
      </c>
      <c r="C47" s="14" t="s">
        <v>327</v>
      </c>
      <c r="D47" s="25" t="str">
        <f>IFERROR(INDEX(#REF!,$H$40)/100,"")</f>
        <v/>
      </c>
      <c r="E47" s="23" t="s">
        <v>121</v>
      </c>
      <c r="F47" s="36" t="s">
        <v>328</v>
      </c>
      <c r="G47" s="19" t="s">
        <v>261</v>
      </c>
      <c r="I47" s="12" t="s">
        <v>226</v>
      </c>
      <c r="J47" s="8" t="s">
        <v>329</v>
      </c>
      <c r="K47" s="8" t="s">
        <v>263</v>
      </c>
    </row>
    <row r="48" spans="1:11" ht="24" x14ac:dyDescent="0.25">
      <c r="A48" s="6"/>
      <c r="B48" s="9" t="s">
        <v>203</v>
      </c>
      <c r="C48" s="14" t="s">
        <v>330</v>
      </c>
      <c r="D48" s="26" t="str">
        <f>IFERROR(""&amp;INDEX(#REF!,$H$40),"")</f>
        <v/>
      </c>
      <c r="E48" s="23" t="s">
        <v>265</v>
      </c>
      <c r="F48" s="36" t="s">
        <v>188</v>
      </c>
      <c r="G48" s="19" t="s">
        <v>266</v>
      </c>
      <c r="I48" s="12" t="s">
        <v>226</v>
      </c>
      <c r="J48" s="8" t="s">
        <v>331</v>
      </c>
      <c r="K48" s="8" t="s">
        <v>268</v>
      </c>
    </row>
    <row r="49" spans="1:11" ht="25.5" x14ac:dyDescent="0.25">
      <c r="A49" s="6"/>
      <c r="B49" s="6" t="s">
        <v>269</v>
      </c>
      <c r="C49" s="6" t="s">
        <v>270</v>
      </c>
      <c r="D49" s="27" t="str">
        <f>IF(OR($D$46="",$D$47=""),"in attesa",IF(ABS($D$46-$D$47)&lt;0.005,"OK","Δ "&amp;FIXED($D$46-$D$47,2)))</f>
        <v>in attesa</v>
      </c>
      <c r="E49" s="6"/>
      <c r="F49" s="19" t="s">
        <v>255</v>
      </c>
      <c r="G49" s="19" t="s">
        <v>271</v>
      </c>
      <c r="I49" s="7" t="s">
        <v>244</v>
      </c>
      <c r="J49" s="8" t="s">
        <v>272</v>
      </c>
      <c r="K49" s="8" t="s">
        <v>273</v>
      </c>
    </row>
    <row r="50" spans="1:11" ht="45.95" customHeight="1" x14ac:dyDescent="0.25">
      <c r="A50" s="6"/>
      <c r="B50" s="6" t="s">
        <v>274</v>
      </c>
      <c r="C50" s="44" t="str">
        <f>IF($D$47="","in attesa della risposta API",IFERROR(INDEX(#REF!,$H$40),"")&amp;" · Normalizzazione: "&amp;"score = min(1; "&amp;FIXED($D$44,3,TRUE)&amp;" / "&amp;IF($D$45=INT($D$45),FIXED($D$45,0,TRUE),FIXED($D$45,1,TRUE))&amp;") con target "&amp;IF($D$45=INT($D$45),FIXED($D$45,0,TRUE),FIXED($D$45,1,TRUE))&amp;" di "&amp;IFERROR(INDEX(#REF!,$H$40),"")&amp;" → IQP ("&amp;FIXED($D$47,2)&amp;")")</f>
        <v>in attesa della risposta API</v>
      </c>
      <c r="D50" s="41"/>
      <c r="E50" s="39"/>
      <c r="F50" s="36" t="s">
        <v>332</v>
      </c>
      <c r="I50" s="7" t="s">
        <v>244</v>
      </c>
      <c r="J50" s="8" t="s">
        <v>333</v>
      </c>
      <c r="K50" s="8" t="s">
        <v>277</v>
      </c>
    </row>
    <row r="52" spans="1:11" x14ac:dyDescent="0.25">
      <c r="A52" s="43" t="s">
        <v>334</v>
      </c>
      <c r="B52" s="41"/>
      <c r="C52" s="41"/>
      <c r="D52" s="41"/>
      <c r="E52" s="41"/>
      <c r="F52" s="39"/>
      <c r="G52" s="15" t="s">
        <v>221</v>
      </c>
      <c r="H52" s="16" t="str">
        <f>IFERROR(MATCH("D6.IEQ",#REF!,0),"")</f>
        <v/>
      </c>
      <c r="J52" s="45" t="s">
        <v>335</v>
      </c>
      <c r="K52" s="46"/>
    </row>
    <row r="53" spans="1:11" ht="24" x14ac:dyDescent="0.25">
      <c r="A53" s="8" t="s">
        <v>46</v>
      </c>
      <c r="B53" s="10" t="s">
        <v>223</v>
      </c>
      <c r="C53" s="10" t="str">
        <f>IFERROR(INDEX(#REF!,$H$52),"componente_1")</f>
        <v>componente_1</v>
      </c>
      <c r="D53" s="17" t="str">
        <f>IFERROR(INDEX(#REF!,$H$52),"")</f>
        <v/>
      </c>
      <c r="E53" s="18" t="s">
        <v>224</v>
      </c>
      <c r="F53" s="36" t="s">
        <v>336</v>
      </c>
      <c r="G53" s="19" t="str">
        <f>IFERROR("anno "&amp;INDEX(#REF!,$H$52),"")</f>
        <v/>
      </c>
      <c r="I53" s="12" t="s">
        <v>226</v>
      </c>
      <c r="J53" s="8" t="s">
        <v>337</v>
      </c>
      <c r="K53" s="8" t="s">
        <v>228</v>
      </c>
    </row>
    <row r="54" spans="1:11" ht="24" x14ac:dyDescent="0.25">
      <c r="A54" s="6"/>
      <c r="B54" s="10" t="s">
        <v>223</v>
      </c>
      <c r="C54" s="10" t="str">
        <f>IFERROR(INDEX(#REF!,$H$52),"componente_2")</f>
        <v>componente_2</v>
      </c>
      <c r="D54" s="17" t="str">
        <f>IFERROR(INDEX(#REF!,$H$52),"")</f>
        <v/>
      </c>
      <c r="E54" s="18" t="s">
        <v>229</v>
      </c>
      <c r="F54" s="36" t="s">
        <v>338</v>
      </c>
      <c r="G54" s="19" t="str">
        <f>IFERROR("anno "&amp;INDEX(#REF!,$H$52),"")</f>
        <v/>
      </c>
      <c r="I54" s="12" t="s">
        <v>226</v>
      </c>
      <c r="J54" s="8" t="s">
        <v>339</v>
      </c>
      <c r="K54" s="8" t="s">
        <v>232</v>
      </c>
    </row>
    <row r="55" spans="1:11" ht="25.5" x14ac:dyDescent="0.25">
      <c r="A55" s="6"/>
      <c r="B55" s="10" t="s">
        <v>223</v>
      </c>
      <c r="C55" s="20" t="str">
        <f>"IEQ = "&amp;IFERROR(INDEX(#REF!,$H$52),"")</f>
        <v xml:space="preserve">IEQ = </v>
      </c>
      <c r="D55" s="21" t="str">
        <f>IFERROR(INDEX(#REF!,$H$52),"")</f>
        <v/>
      </c>
      <c r="E55" s="18" t="s">
        <v>233</v>
      </c>
      <c r="F55" s="36" t="s">
        <v>189</v>
      </c>
      <c r="G55" s="19" t="str">
        <f>IFERROR(INDEX(#REF!,$H$52),"")</f>
        <v/>
      </c>
      <c r="I55" s="12" t="s">
        <v>226</v>
      </c>
      <c r="J55" s="8" t="s">
        <v>340</v>
      </c>
      <c r="K55" s="8" t="s">
        <v>236</v>
      </c>
    </row>
    <row r="56" spans="1:11" ht="36" x14ac:dyDescent="0.25">
      <c r="A56" s="6"/>
      <c r="B56" s="9" t="s">
        <v>237</v>
      </c>
      <c r="C56" s="9" t="s">
        <v>341</v>
      </c>
      <c r="D56" s="29" t="str">
        <f>IFERROR($D$55,"")</f>
        <v/>
      </c>
      <c r="E56" s="23" t="s">
        <v>342</v>
      </c>
      <c r="F56" s="37" t="s">
        <v>240</v>
      </c>
      <c r="G56" s="6"/>
      <c r="I56" s="12" t="s">
        <v>226</v>
      </c>
      <c r="J56" s="8" t="s">
        <v>343</v>
      </c>
      <c r="K56" s="8" t="s">
        <v>236</v>
      </c>
    </row>
    <row r="57" spans="1:11" ht="24" x14ac:dyDescent="0.25">
      <c r="A57" s="6"/>
      <c r="B57" s="9" t="s">
        <v>237</v>
      </c>
      <c r="C57" s="9" t="s">
        <v>249</v>
      </c>
      <c r="D57" s="24" t="str">
        <f>IFERROR(INDEX(#REF!,$H$52),"")</f>
        <v/>
      </c>
      <c r="E57" s="23" t="s">
        <v>250</v>
      </c>
      <c r="F57" s="37" t="s">
        <v>240</v>
      </c>
      <c r="G57" s="6"/>
      <c r="I57" s="12" t="s">
        <v>226</v>
      </c>
      <c r="J57" s="8" t="s">
        <v>344</v>
      </c>
      <c r="K57" s="8" t="s">
        <v>252</v>
      </c>
    </row>
    <row r="58" spans="1:11" ht="25.5" x14ac:dyDescent="0.25">
      <c r="A58" s="6"/>
      <c r="B58" s="9" t="s">
        <v>237</v>
      </c>
      <c r="C58" s="14" t="s">
        <v>345</v>
      </c>
      <c r="D58" s="25" t="str">
        <f>IFERROR(MAX(1,ROUND(100*(MIN(1,MAX(0,0.5+0.5*MAX(-1,MIN(1,$D$56/$D$57))))),0))/100,"")</f>
        <v/>
      </c>
      <c r="E58" s="23" t="s">
        <v>254</v>
      </c>
      <c r="F58" s="19" t="s">
        <v>255</v>
      </c>
      <c r="G58" s="19" t="str">
        <f>IFERROR("formula_score: "&amp;INDEX(#REF!,$H$52),"")</f>
        <v/>
      </c>
      <c r="I58" s="7" t="s">
        <v>244</v>
      </c>
      <c r="J58" s="8" t="s">
        <v>256</v>
      </c>
      <c r="K58" s="8" t="s">
        <v>257</v>
      </c>
    </row>
    <row r="59" spans="1:11" ht="24" x14ac:dyDescent="0.25">
      <c r="A59" s="6"/>
      <c r="B59" s="9" t="s">
        <v>258</v>
      </c>
      <c r="C59" s="14" t="s">
        <v>346</v>
      </c>
      <c r="D59" s="25" t="str">
        <f>IFERROR(INDEX(#REF!,$H$52)/100,"")</f>
        <v/>
      </c>
      <c r="E59" s="23" t="s">
        <v>121</v>
      </c>
      <c r="F59" s="36" t="s">
        <v>347</v>
      </c>
      <c r="G59" s="19" t="s">
        <v>261</v>
      </c>
      <c r="I59" s="12" t="s">
        <v>226</v>
      </c>
      <c r="J59" s="8" t="s">
        <v>348</v>
      </c>
      <c r="K59" s="8" t="s">
        <v>263</v>
      </c>
    </row>
    <row r="60" spans="1:11" ht="24" x14ac:dyDescent="0.25">
      <c r="A60" s="6"/>
      <c r="B60" s="9" t="s">
        <v>203</v>
      </c>
      <c r="C60" s="14" t="s">
        <v>349</v>
      </c>
      <c r="D60" s="26" t="str">
        <f>IFERROR(""&amp;INDEX(#REF!,$H$52),"")</f>
        <v/>
      </c>
      <c r="E60" s="23" t="s">
        <v>265</v>
      </c>
      <c r="F60" s="36" t="s">
        <v>190</v>
      </c>
      <c r="G60" s="19" t="s">
        <v>266</v>
      </c>
      <c r="I60" s="12" t="s">
        <v>226</v>
      </c>
      <c r="J60" s="8" t="s">
        <v>350</v>
      </c>
      <c r="K60" s="8" t="s">
        <v>268</v>
      </c>
    </row>
    <row r="61" spans="1:11" ht="36" x14ac:dyDescent="0.25">
      <c r="A61" s="6"/>
      <c r="B61" s="6" t="s">
        <v>269</v>
      </c>
      <c r="C61" s="6" t="s">
        <v>270</v>
      </c>
      <c r="D61" s="27" t="str">
        <f>IF(OR($D$58="",$D$59=""),"in attesa",IF(ABS($D$58-$D$59)&lt;0.005,"OK","Δ "&amp;FIXED($D$58-$D$59,2)))</f>
        <v>in attesa</v>
      </c>
      <c r="E61" s="6"/>
      <c r="F61" s="19" t="s">
        <v>255</v>
      </c>
      <c r="G61" s="19" t="s">
        <v>351</v>
      </c>
      <c r="I61" s="7" t="s">
        <v>244</v>
      </c>
      <c r="J61" s="8" t="s">
        <v>272</v>
      </c>
      <c r="K61" s="8" t="s">
        <v>273</v>
      </c>
    </row>
    <row r="62" spans="1:11" ht="45.95" customHeight="1" x14ac:dyDescent="0.25">
      <c r="A62" s="6"/>
      <c r="B62" s="6" t="s">
        <v>274</v>
      </c>
      <c r="C62" s="44" t="str">
        <f>IF($D$59="","in attesa della risposta API",IFERROR(INDEX(#REF!,$H$52),"")&amp;" · Normalizzazione: "&amp;"score = 0,5 + 0,5 × "&amp;FIXED($D$56,3,TRUE)&amp;" / "&amp;IF($D$57=INT($D$57),FIXED($D$57,0,TRUE),FIXED($D$57,1,TRUE))&amp;", limitato a [0;1]"&amp;" → IEQ ("&amp;FIXED($D$59,2)&amp;")")</f>
        <v>in attesa della risposta API</v>
      </c>
      <c r="D62" s="41"/>
      <c r="E62" s="39"/>
      <c r="F62" s="36" t="s">
        <v>352</v>
      </c>
      <c r="I62" s="7" t="s">
        <v>244</v>
      </c>
      <c r="J62" s="8" t="s">
        <v>353</v>
      </c>
      <c r="K62" s="8" t="s">
        <v>277</v>
      </c>
    </row>
    <row r="64" spans="1:11" x14ac:dyDescent="0.25">
      <c r="A64" s="43" t="s">
        <v>354</v>
      </c>
      <c r="B64" s="41"/>
      <c r="C64" s="41"/>
      <c r="D64" s="41"/>
      <c r="E64" s="41"/>
      <c r="F64" s="39"/>
      <c r="G64" s="15" t="s">
        <v>221</v>
      </c>
      <c r="H64" s="16" t="str">
        <f>IFERROR(MATCH("D6.IPD",#REF!,0),"")</f>
        <v/>
      </c>
      <c r="J64" s="45" t="s">
        <v>355</v>
      </c>
      <c r="K64" s="46"/>
    </row>
    <row r="65" spans="1:11" ht="24" x14ac:dyDescent="0.25">
      <c r="A65" s="8" t="s">
        <v>54</v>
      </c>
      <c r="B65" s="10" t="s">
        <v>223</v>
      </c>
      <c r="C65" s="10" t="str">
        <f>IFERROR(INDEX(#REF!,$H$64),"componente_1")</f>
        <v>componente_1</v>
      </c>
      <c r="D65" s="17" t="str">
        <f>IFERROR(INDEX(#REF!,$H$64),"")</f>
        <v/>
      </c>
      <c r="E65" s="18" t="s">
        <v>224</v>
      </c>
      <c r="F65" s="36" t="s">
        <v>356</v>
      </c>
      <c r="G65" s="19" t="str">
        <f>IFERROR("anno "&amp;INDEX(#REF!,$H$64),"")</f>
        <v/>
      </c>
      <c r="I65" s="12" t="s">
        <v>226</v>
      </c>
      <c r="J65" s="8" t="s">
        <v>357</v>
      </c>
      <c r="K65" s="8" t="s">
        <v>228</v>
      </c>
    </row>
    <row r="66" spans="1:11" ht="25.5" x14ac:dyDescent="0.25">
      <c r="A66" s="6"/>
      <c r="B66" s="10" t="s">
        <v>223</v>
      </c>
      <c r="C66" s="10" t="str">
        <f>IFERROR(INDEX(#REF!,$H$64),"componente_2")</f>
        <v>componente_2</v>
      </c>
      <c r="D66" s="17" t="str">
        <f>IFERROR(INDEX(#REF!,$H$64),"")</f>
        <v/>
      </c>
      <c r="E66" s="18" t="s">
        <v>229</v>
      </c>
      <c r="F66" s="36" t="s">
        <v>358</v>
      </c>
      <c r="G66" s="19" t="str">
        <f>IFERROR("anno "&amp;INDEX(#REF!,$H$64),"")</f>
        <v/>
      </c>
      <c r="I66" s="12" t="s">
        <v>226</v>
      </c>
      <c r="J66" s="8" t="s">
        <v>359</v>
      </c>
      <c r="K66" s="8" t="s">
        <v>232</v>
      </c>
    </row>
    <row r="67" spans="1:11" ht="24" x14ac:dyDescent="0.25">
      <c r="A67" s="6"/>
      <c r="B67" s="10" t="s">
        <v>223</v>
      </c>
      <c r="C67" s="20" t="str">
        <f>"IPD = "&amp;IFERROR(INDEX(#REF!,$H$64),"")</f>
        <v xml:space="preserve">IPD = </v>
      </c>
      <c r="D67" s="21" t="str">
        <f>IFERROR(INDEX(#REF!,$H$64),"")</f>
        <v/>
      </c>
      <c r="E67" s="18" t="s">
        <v>233</v>
      </c>
      <c r="F67" s="36" t="s">
        <v>360</v>
      </c>
      <c r="G67" s="19" t="str">
        <f>IFERROR(INDEX(#REF!,$H$64),"")</f>
        <v/>
      </c>
      <c r="I67" s="12" t="s">
        <v>226</v>
      </c>
      <c r="J67" s="8" t="s">
        <v>361</v>
      </c>
      <c r="K67" s="8" t="s">
        <v>236</v>
      </c>
    </row>
    <row r="68" spans="1:11" ht="36" x14ac:dyDescent="0.25">
      <c r="A68" s="6"/>
      <c r="B68" s="9" t="s">
        <v>237</v>
      </c>
      <c r="C68" s="9" t="s">
        <v>362</v>
      </c>
      <c r="D68" s="29" t="str">
        <f>IFERROR($D$67,"")</f>
        <v/>
      </c>
      <c r="E68" s="23" t="s">
        <v>342</v>
      </c>
      <c r="F68" s="37" t="s">
        <v>240</v>
      </c>
      <c r="G68" s="6"/>
      <c r="I68" s="12" t="s">
        <v>226</v>
      </c>
      <c r="J68" s="8" t="s">
        <v>363</v>
      </c>
      <c r="K68" s="8" t="s">
        <v>236</v>
      </c>
    </row>
    <row r="69" spans="1:11" ht="25.5" x14ac:dyDescent="0.25">
      <c r="A69" s="6"/>
      <c r="B69" s="9" t="s">
        <v>237</v>
      </c>
      <c r="C69" s="9" t="s">
        <v>364</v>
      </c>
      <c r="D69" s="29" t="str">
        <f>IFERROR(1/$D$68,"")</f>
        <v/>
      </c>
      <c r="E69" s="23" t="s">
        <v>243</v>
      </c>
      <c r="F69" s="37" t="s">
        <v>240</v>
      </c>
      <c r="G69" s="6"/>
      <c r="I69" s="7" t="s">
        <v>244</v>
      </c>
      <c r="J69" s="8" t="s">
        <v>245</v>
      </c>
      <c r="K69" s="8" t="s">
        <v>365</v>
      </c>
    </row>
    <row r="70" spans="1:11" ht="25.5" x14ac:dyDescent="0.25">
      <c r="A70" s="6"/>
      <c r="B70" s="9" t="s">
        <v>237</v>
      </c>
      <c r="C70" s="14" t="s">
        <v>366</v>
      </c>
      <c r="D70" s="25">
        <f>IFERROR(MAX(1,ROUND(100*(MIN(1,$D$68,$D$69)),0))/100,"")</f>
        <v>1</v>
      </c>
      <c r="E70" s="23" t="s">
        <v>254</v>
      </c>
      <c r="F70" s="19" t="s">
        <v>255</v>
      </c>
      <c r="G70" s="19" t="str">
        <f>IFERROR("formula_score: "&amp;INDEX(#REF!,$H$64),"")</f>
        <v/>
      </c>
      <c r="I70" s="7" t="s">
        <v>244</v>
      </c>
      <c r="J70" s="8" t="s">
        <v>256</v>
      </c>
      <c r="K70" s="8" t="s">
        <v>257</v>
      </c>
    </row>
    <row r="71" spans="1:11" ht="24" x14ac:dyDescent="0.25">
      <c r="A71" s="6"/>
      <c r="B71" s="9" t="s">
        <v>258</v>
      </c>
      <c r="C71" s="14" t="s">
        <v>367</v>
      </c>
      <c r="D71" s="25" t="str">
        <f>IFERROR(INDEX(#REF!,$H$64)/100,"")</f>
        <v/>
      </c>
      <c r="E71" s="23" t="s">
        <v>121</v>
      </c>
      <c r="F71" s="36" t="s">
        <v>368</v>
      </c>
      <c r="G71" s="19" t="s">
        <v>261</v>
      </c>
      <c r="I71" s="12" t="s">
        <v>226</v>
      </c>
      <c r="J71" s="8" t="s">
        <v>369</v>
      </c>
      <c r="K71" s="8" t="s">
        <v>263</v>
      </c>
    </row>
    <row r="72" spans="1:11" ht="24" x14ac:dyDescent="0.25">
      <c r="A72" s="6"/>
      <c r="B72" s="9" t="s">
        <v>203</v>
      </c>
      <c r="C72" s="14" t="s">
        <v>370</v>
      </c>
      <c r="D72" s="26" t="str">
        <f>IFERROR(""&amp;INDEX(#REF!,$H$64),"")</f>
        <v/>
      </c>
      <c r="E72" s="23" t="s">
        <v>265</v>
      </c>
      <c r="F72" s="36" t="s">
        <v>190</v>
      </c>
      <c r="G72" s="19" t="s">
        <v>266</v>
      </c>
      <c r="I72" s="12" t="s">
        <v>226</v>
      </c>
      <c r="J72" s="8" t="s">
        <v>371</v>
      </c>
      <c r="K72" s="8" t="s">
        <v>268</v>
      </c>
    </row>
    <row r="73" spans="1:11" ht="36" x14ac:dyDescent="0.25">
      <c r="A73" s="6"/>
      <c r="B73" s="6" t="s">
        <v>269</v>
      </c>
      <c r="C73" s="6" t="s">
        <v>270</v>
      </c>
      <c r="D73" s="27" t="str">
        <f>IF(OR($D$70="",$D$71=""),"in attesa",IF(ABS($D$70-$D$71)&lt;0.005,"OK","Δ "&amp;FIXED($D$70-$D$71,2)))</f>
        <v>in attesa</v>
      </c>
      <c r="E73" s="6"/>
      <c r="F73" s="19" t="s">
        <v>255</v>
      </c>
      <c r="G73" s="19" t="s">
        <v>351</v>
      </c>
      <c r="I73" s="7" t="s">
        <v>244</v>
      </c>
      <c r="J73" s="8" t="s">
        <v>272</v>
      </c>
      <c r="K73" s="8" t="s">
        <v>273</v>
      </c>
    </row>
    <row r="74" spans="1:11" ht="45.95" customHeight="1" x14ac:dyDescent="0.25">
      <c r="A74" s="6"/>
      <c r="B74" s="6" t="s">
        <v>274</v>
      </c>
      <c r="C74" s="44" t="str">
        <f>IF($D$71="","in attesa della risposta API",IFERROR(INDEX(#REF!,$H$64),"")&amp;" · Normalizzazione: "&amp;"score = min("&amp;FIXED($D$68,3,TRUE)&amp;"; "&amp;FIXED($D$69,3,TRUE)&amp;"), parità = 1"&amp;" → IPD ("&amp;FIXED($D$71,2)&amp;")")</f>
        <v>in attesa della risposta API</v>
      </c>
      <c r="D74" s="41"/>
      <c r="E74" s="39"/>
      <c r="F74" s="36" t="s">
        <v>372</v>
      </c>
      <c r="I74" s="7" t="s">
        <v>244</v>
      </c>
      <c r="J74" s="8" t="s">
        <v>373</v>
      </c>
      <c r="K74" s="8" t="s">
        <v>277</v>
      </c>
    </row>
    <row r="76" spans="1:11" x14ac:dyDescent="0.25">
      <c r="A76" s="43" t="s">
        <v>374</v>
      </c>
      <c r="B76" s="41"/>
      <c r="C76" s="41"/>
      <c r="D76" s="41"/>
      <c r="E76" s="41"/>
      <c r="F76" s="39"/>
      <c r="G76" s="15" t="s">
        <v>221</v>
      </c>
      <c r="H76" s="16" t="str">
        <f>IFERROR(MATCH("D6.TEPD",#REF!,0),"")</f>
        <v/>
      </c>
      <c r="J76" s="45" t="s">
        <v>375</v>
      </c>
      <c r="K76" s="46"/>
    </row>
    <row r="77" spans="1:11" ht="24" x14ac:dyDescent="0.25">
      <c r="A77" s="8" t="s">
        <v>59</v>
      </c>
      <c r="B77" s="10" t="s">
        <v>223</v>
      </c>
      <c r="C77" s="10" t="str">
        <f>IFERROR(INDEX(#REF!,$H$76),"componente_1")</f>
        <v>componente_1</v>
      </c>
      <c r="D77" s="17" t="str">
        <f>IFERROR(INDEX(#REF!,$H$76),"")</f>
        <v/>
      </c>
      <c r="E77" s="18" t="s">
        <v>224</v>
      </c>
      <c r="F77" s="36" t="s">
        <v>376</v>
      </c>
      <c r="G77" s="19" t="str">
        <f>IFERROR("anno "&amp;INDEX(#REF!,$H$76),"")</f>
        <v/>
      </c>
      <c r="I77" s="12" t="s">
        <v>226</v>
      </c>
      <c r="J77" s="8" t="s">
        <v>377</v>
      </c>
      <c r="K77" s="8" t="s">
        <v>228</v>
      </c>
    </row>
    <row r="78" spans="1:11" ht="24" x14ac:dyDescent="0.25">
      <c r="A78" s="6"/>
      <c r="B78" s="10" t="s">
        <v>223</v>
      </c>
      <c r="C78" s="10" t="str">
        <f>IFERROR(INDEX(#REF!,$H$76),"componente_2")</f>
        <v>componente_2</v>
      </c>
      <c r="D78" s="17" t="str">
        <f>IFERROR(INDEX(#REF!,$H$76),"")</f>
        <v/>
      </c>
      <c r="E78" s="18" t="s">
        <v>229</v>
      </c>
      <c r="F78" s="36" t="s">
        <v>378</v>
      </c>
      <c r="G78" s="19" t="str">
        <f>IFERROR("anno "&amp;INDEX(#REF!,$H$76),"")</f>
        <v/>
      </c>
      <c r="I78" s="12" t="s">
        <v>226</v>
      </c>
      <c r="J78" s="8" t="s">
        <v>379</v>
      </c>
      <c r="K78" s="8" t="s">
        <v>232</v>
      </c>
    </row>
    <row r="79" spans="1:11" ht="24" x14ac:dyDescent="0.25">
      <c r="A79" s="6"/>
      <c r="B79" s="10" t="s">
        <v>223</v>
      </c>
      <c r="C79" s="20" t="str">
        <f>"TEPD = "&amp;IFERROR(INDEX(#REF!,$H$76),"")</f>
        <v xml:space="preserve">TEPD = </v>
      </c>
      <c r="D79" s="21" t="str">
        <f>IFERROR(INDEX(#REF!,$H$76),"")</f>
        <v/>
      </c>
      <c r="E79" s="18" t="s">
        <v>233</v>
      </c>
      <c r="F79" s="36" t="s">
        <v>192</v>
      </c>
      <c r="G79" s="19" t="str">
        <f>IFERROR(INDEX(#REF!,$H$76),"")</f>
        <v/>
      </c>
      <c r="I79" s="12" t="s">
        <v>226</v>
      </c>
      <c r="J79" s="8" t="s">
        <v>380</v>
      </c>
      <c r="K79" s="8" t="s">
        <v>236</v>
      </c>
    </row>
    <row r="80" spans="1:11" ht="24" x14ac:dyDescent="0.25">
      <c r="A80" s="6"/>
      <c r="B80" s="9" t="s">
        <v>237</v>
      </c>
      <c r="C80" s="9" t="s">
        <v>381</v>
      </c>
      <c r="D80" s="29" t="str">
        <f>IFERROR($D$79,"")</f>
        <v/>
      </c>
      <c r="E80" s="23" t="s">
        <v>239</v>
      </c>
      <c r="F80" s="37" t="s">
        <v>240</v>
      </c>
      <c r="G80" s="6"/>
      <c r="I80" s="12" t="s">
        <v>226</v>
      </c>
      <c r="J80" s="8" t="s">
        <v>382</v>
      </c>
      <c r="K80" s="8" t="s">
        <v>236</v>
      </c>
    </row>
    <row r="81" spans="1:11" ht="25.5" x14ac:dyDescent="0.25">
      <c r="A81" s="6"/>
      <c r="B81" s="9" t="s">
        <v>237</v>
      </c>
      <c r="C81" s="9" t="s">
        <v>383</v>
      </c>
      <c r="D81" s="22" t="str">
        <f>IFERROR($D$80/3,"")</f>
        <v/>
      </c>
      <c r="E81" s="23" t="s">
        <v>243</v>
      </c>
      <c r="F81" s="37" t="s">
        <v>240</v>
      </c>
      <c r="G81" s="6"/>
      <c r="I81" s="7" t="s">
        <v>244</v>
      </c>
      <c r="J81" s="8" t="s">
        <v>245</v>
      </c>
      <c r="K81" s="8" t="s">
        <v>384</v>
      </c>
    </row>
    <row r="82" spans="1:11" ht="24" x14ac:dyDescent="0.25">
      <c r="A82" s="6"/>
      <c r="B82" s="9" t="s">
        <v>237</v>
      </c>
      <c r="C82" s="9" t="s">
        <v>249</v>
      </c>
      <c r="D82" s="24" t="str">
        <f>IFERROR(INDEX(#REF!,$H$76),"")</f>
        <v/>
      </c>
      <c r="E82" s="23" t="s">
        <v>250</v>
      </c>
      <c r="F82" s="37" t="s">
        <v>240</v>
      </c>
      <c r="G82" s="6"/>
      <c r="I82" s="12" t="s">
        <v>226</v>
      </c>
      <c r="J82" s="8" t="s">
        <v>385</v>
      </c>
      <c r="K82" s="8" t="s">
        <v>252</v>
      </c>
    </row>
    <row r="83" spans="1:11" ht="25.5" x14ac:dyDescent="0.25">
      <c r="A83" s="6"/>
      <c r="B83" s="9" t="s">
        <v>237</v>
      </c>
      <c r="C83" s="14" t="s">
        <v>386</v>
      </c>
      <c r="D83" s="25" t="str">
        <f>IFERROR(MAX(1,ROUND(100*(MIN(1,MAX(0,0.5+0.5*MAX(-1,MIN(1,$D$81/$D$82))))),0))/100,"")</f>
        <v/>
      </c>
      <c r="E83" s="23" t="s">
        <v>254</v>
      </c>
      <c r="F83" s="19" t="s">
        <v>255</v>
      </c>
      <c r="G83" s="19" t="str">
        <f>IFERROR("formula_score: "&amp;INDEX(#REF!,$H$76),"")</f>
        <v/>
      </c>
      <c r="I83" s="7" t="s">
        <v>244</v>
      </c>
      <c r="J83" s="8" t="s">
        <v>256</v>
      </c>
      <c r="K83" s="8" t="s">
        <v>257</v>
      </c>
    </row>
    <row r="84" spans="1:11" ht="24" x14ac:dyDescent="0.25">
      <c r="A84" s="6"/>
      <c r="B84" s="9" t="s">
        <v>258</v>
      </c>
      <c r="C84" s="14" t="s">
        <v>387</v>
      </c>
      <c r="D84" s="25" t="str">
        <f>IFERROR(INDEX(#REF!,$H$76)/100,"")</f>
        <v/>
      </c>
      <c r="E84" s="23" t="s">
        <v>121</v>
      </c>
      <c r="F84" s="36" t="s">
        <v>388</v>
      </c>
      <c r="G84" s="19" t="s">
        <v>261</v>
      </c>
      <c r="I84" s="12" t="s">
        <v>226</v>
      </c>
      <c r="J84" s="8" t="s">
        <v>389</v>
      </c>
      <c r="K84" s="8" t="s">
        <v>263</v>
      </c>
    </row>
    <row r="85" spans="1:11" ht="24" x14ac:dyDescent="0.25">
      <c r="A85" s="6"/>
      <c r="B85" s="9" t="s">
        <v>203</v>
      </c>
      <c r="C85" s="14" t="s">
        <v>390</v>
      </c>
      <c r="D85" s="26" t="str">
        <f>IFERROR(""&amp;INDEX(#REF!,$H$76),"")</f>
        <v/>
      </c>
      <c r="E85" s="23" t="s">
        <v>265</v>
      </c>
      <c r="F85" s="36" t="s">
        <v>193</v>
      </c>
      <c r="G85" s="19" t="s">
        <v>266</v>
      </c>
      <c r="I85" s="12" t="s">
        <v>226</v>
      </c>
      <c r="J85" s="8" t="s">
        <v>391</v>
      </c>
      <c r="K85" s="8" t="s">
        <v>268</v>
      </c>
    </row>
    <row r="86" spans="1:11" ht="36" x14ac:dyDescent="0.25">
      <c r="A86" s="6"/>
      <c r="B86" s="6" t="s">
        <v>269</v>
      </c>
      <c r="C86" s="6" t="s">
        <v>270</v>
      </c>
      <c r="D86" s="27" t="str">
        <f>IF(OR($D$83="",$D$84=""),"in attesa",IF(ABS($D$83-$D$84)&lt;0.005,"OK","Δ "&amp;FIXED($D$83-$D$84,2)))</f>
        <v>in attesa</v>
      </c>
      <c r="E86" s="6"/>
      <c r="F86" s="19" t="s">
        <v>255</v>
      </c>
      <c r="G86" s="19" t="s">
        <v>351</v>
      </c>
      <c r="I86" s="7" t="s">
        <v>244</v>
      </c>
      <c r="J86" s="8" t="s">
        <v>272</v>
      </c>
      <c r="K86" s="8" t="s">
        <v>273</v>
      </c>
    </row>
    <row r="87" spans="1:11" ht="45.95" customHeight="1" x14ac:dyDescent="0.25">
      <c r="A87" s="6"/>
      <c r="B87" s="6" t="s">
        <v>274</v>
      </c>
      <c r="C87" s="44" t="str">
        <f>IF($D$84="","in attesa della risposta API",IFERROR(INDEX(#REF!,$H$76),"")&amp;" · Normalizzazione: "&amp;"media annua = "&amp;FIXED($D$80,3,TRUE)&amp;" / 3 = "&amp;FIXED($D$81,4,TRUE)&amp;"; score = 0,5 + 0,5 × "&amp;FIXED($D$81,4,TRUE)&amp;" / "&amp;IF($D$82=INT($D$82),FIXED($D$82,0,TRUE),FIXED($D$82,1,TRUE))&amp;", limitato a [0;1]"&amp;" → TEPD ("&amp;FIXED($D$84,2)&amp;")")</f>
        <v>in attesa della risposta API</v>
      </c>
      <c r="D87" s="41"/>
      <c r="E87" s="39"/>
      <c r="F87" s="36" t="s">
        <v>392</v>
      </c>
      <c r="I87" s="7" t="s">
        <v>244</v>
      </c>
      <c r="J87" s="8" t="s">
        <v>393</v>
      </c>
      <c r="K87" s="8" t="s">
        <v>277</v>
      </c>
    </row>
    <row r="89" spans="1:11" x14ac:dyDescent="0.25">
      <c r="A89" s="43" t="s">
        <v>394</v>
      </c>
      <c r="B89" s="41"/>
      <c r="C89" s="41"/>
      <c r="D89" s="41"/>
      <c r="E89" s="41"/>
      <c r="F89" s="39"/>
      <c r="G89" s="15" t="s">
        <v>221</v>
      </c>
      <c r="H89" s="16" t="str">
        <f>IFERROR(MATCH("D6.VQF",#REF!,0),"")</f>
        <v/>
      </c>
      <c r="J89" s="45" t="s">
        <v>395</v>
      </c>
      <c r="K89" s="46"/>
    </row>
    <row r="90" spans="1:11" ht="24" x14ac:dyDescent="0.25">
      <c r="A90" s="8" t="s">
        <v>50</v>
      </c>
      <c r="B90" s="10" t="s">
        <v>223</v>
      </c>
      <c r="C90" s="10" t="str">
        <f>IFERROR(INDEX(#REF!,$H$89),"componente_1")</f>
        <v>componente_1</v>
      </c>
      <c r="D90" s="17" t="str">
        <f>IFERROR(INDEX(#REF!,$H$89),"")</f>
        <v/>
      </c>
      <c r="E90" s="18" t="s">
        <v>224</v>
      </c>
      <c r="F90" s="36" t="s">
        <v>396</v>
      </c>
      <c r="G90" s="19" t="str">
        <f>IFERROR("anno "&amp;INDEX(#REF!,$H$89),"")</f>
        <v/>
      </c>
      <c r="I90" s="12" t="s">
        <v>226</v>
      </c>
      <c r="J90" s="8" t="s">
        <v>397</v>
      </c>
      <c r="K90" s="8" t="s">
        <v>228</v>
      </c>
    </row>
    <row r="91" spans="1:11" ht="24" x14ac:dyDescent="0.25">
      <c r="A91" s="6"/>
      <c r="B91" s="10" t="s">
        <v>223</v>
      </c>
      <c r="C91" s="10" t="str">
        <f>IFERROR(INDEX(#REF!,$H$89),"componente_2")</f>
        <v>componente_2</v>
      </c>
      <c r="D91" s="17" t="str">
        <f>IFERROR(INDEX(#REF!,$H$89),"")</f>
        <v/>
      </c>
      <c r="E91" s="18" t="s">
        <v>229</v>
      </c>
      <c r="F91" s="36" t="s">
        <v>398</v>
      </c>
      <c r="G91" s="19" t="str">
        <f>IFERROR("anno "&amp;INDEX(#REF!,$H$89),"")</f>
        <v/>
      </c>
      <c r="I91" s="12" t="s">
        <v>226</v>
      </c>
      <c r="J91" s="8" t="s">
        <v>399</v>
      </c>
      <c r="K91" s="8" t="s">
        <v>232</v>
      </c>
    </row>
    <row r="92" spans="1:11" ht="24" x14ac:dyDescent="0.25">
      <c r="A92" s="6"/>
      <c r="B92" s="10" t="s">
        <v>223</v>
      </c>
      <c r="C92" s="20" t="str">
        <f>"VQF = "&amp;IFERROR(INDEX(#REF!,$H$89),"")</f>
        <v xml:space="preserve">VQF = </v>
      </c>
      <c r="D92" s="21" t="str">
        <f>IFERROR(INDEX(#REF!,$H$89),"")</f>
        <v/>
      </c>
      <c r="E92" s="18" t="s">
        <v>233</v>
      </c>
      <c r="F92" s="36" t="s">
        <v>191</v>
      </c>
      <c r="G92" s="19" t="str">
        <f>IFERROR(INDEX(#REF!,$H$89),"")</f>
        <v/>
      </c>
      <c r="I92" s="12" t="s">
        <v>226</v>
      </c>
      <c r="J92" s="8" t="s">
        <v>400</v>
      </c>
      <c r="K92" s="8" t="s">
        <v>236</v>
      </c>
    </row>
    <row r="93" spans="1:11" ht="36" x14ac:dyDescent="0.25">
      <c r="A93" s="6"/>
      <c r="B93" s="9" t="s">
        <v>237</v>
      </c>
      <c r="C93" s="9" t="s">
        <v>401</v>
      </c>
      <c r="D93" s="29" t="str">
        <f>IFERROR($D$92,"")</f>
        <v/>
      </c>
      <c r="E93" s="23" t="s">
        <v>342</v>
      </c>
      <c r="F93" s="37" t="s">
        <v>240</v>
      </c>
      <c r="G93" s="6"/>
      <c r="I93" s="12" t="s">
        <v>226</v>
      </c>
      <c r="J93" s="8" t="s">
        <v>402</v>
      </c>
      <c r="K93" s="8" t="s">
        <v>236</v>
      </c>
    </row>
    <row r="94" spans="1:11" ht="24" x14ac:dyDescent="0.25">
      <c r="A94" s="6"/>
      <c r="B94" s="9" t="s">
        <v>237</v>
      </c>
      <c r="C94" s="9" t="s">
        <v>249</v>
      </c>
      <c r="D94" s="24" t="str">
        <f>IFERROR(INDEX(#REF!,$H$89),"")</f>
        <v/>
      </c>
      <c r="E94" s="23" t="s">
        <v>250</v>
      </c>
      <c r="F94" s="37" t="s">
        <v>240</v>
      </c>
      <c r="G94" s="6"/>
      <c r="I94" s="12" t="s">
        <v>226</v>
      </c>
      <c r="J94" s="8" t="s">
        <v>403</v>
      </c>
      <c r="K94" s="8" t="s">
        <v>252</v>
      </c>
    </row>
    <row r="95" spans="1:11" ht="25.5" x14ac:dyDescent="0.25">
      <c r="A95" s="6"/>
      <c r="B95" s="9" t="s">
        <v>237</v>
      </c>
      <c r="C95" s="14" t="s">
        <v>404</v>
      </c>
      <c r="D95" s="25" t="str">
        <f>IFERROR(MAX(1,ROUND(100*(MIN(1,MAX(0,0.5+0.5*MAX(-1,MIN(1,$D$93/$D$94))))),0))/100,"")</f>
        <v/>
      </c>
      <c r="E95" s="23" t="s">
        <v>254</v>
      </c>
      <c r="F95" s="19" t="s">
        <v>255</v>
      </c>
      <c r="G95" s="19" t="str">
        <f>IFERROR("formula_score: "&amp;INDEX(#REF!,$H$89),"")</f>
        <v/>
      </c>
      <c r="I95" s="7" t="s">
        <v>244</v>
      </c>
      <c r="J95" s="8" t="s">
        <v>256</v>
      </c>
      <c r="K95" s="8" t="s">
        <v>257</v>
      </c>
    </row>
    <row r="96" spans="1:11" ht="24" x14ac:dyDescent="0.25">
      <c r="A96" s="6"/>
      <c r="B96" s="9" t="s">
        <v>258</v>
      </c>
      <c r="C96" s="14" t="s">
        <v>405</v>
      </c>
      <c r="D96" s="25" t="str">
        <f>IFERROR(INDEX(#REF!,$H$89)/100,"")</f>
        <v/>
      </c>
      <c r="E96" s="23" t="s">
        <v>121</v>
      </c>
      <c r="F96" s="36" t="s">
        <v>406</v>
      </c>
      <c r="G96" s="19" t="s">
        <v>261</v>
      </c>
      <c r="I96" s="12" t="s">
        <v>226</v>
      </c>
      <c r="J96" s="8" t="s">
        <v>407</v>
      </c>
      <c r="K96" s="8" t="s">
        <v>263</v>
      </c>
    </row>
    <row r="97" spans="1:11" ht="24" x14ac:dyDescent="0.25">
      <c r="A97" s="6"/>
      <c r="B97" s="9" t="s">
        <v>203</v>
      </c>
      <c r="C97" s="14" t="s">
        <v>408</v>
      </c>
      <c r="D97" s="26" t="str">
        <f>IFERROR(""&amp;INDEX(#REF!,$H$89),"")</f>
        <v/>
      </c>
      <c r="E97" s="23" t="s">
        <v>265</v>
      </c>
      <c r="F97" s="36" t="s">
        <v>190</v>
      </c>
      <c r="G97" s="19" t="s">
        <v>266</v>
      </c>
      <c r="I97" s="12" t="s">
        <v>226</v>
      </c>
      <c r="J97" s="8" t="s">
        <v>409</v>
      </c>
      <c r="K97" s="8" t="s">
        <v>268</v>
      </c>
    </row>
    <row r="98" spans="1:11" ht="36" x14ac:dyDescent="0.25">
      <c r="A98" s="6"/>
      <c r="B98" s="6" t="s">
        <v>269</v>
      </c>
      <c r="C98" s="6" t="s">
        <v>270</v>
      </c>
      <c r="D98" s="27" t="str">
        <f>IF(OR($D$95="",$D$96=""),"in attesa",IF(ABS($D$95-$D$96)&lt;0.005,"OK","Δ "&amp;FIXED($D$95-$D$96,2)))</f>
        <v>in attesa</v>
      </c>
      <c r="E98" s="6"/>
      <c r="F98" s="19" t="s">
        <v>255</v>
      </c>
      <c r="G98" s="19" t="s">
        <v>351</v>
      </c>
      <c r="I98" s="7" t="s">
        <v>244</v>
      </c>
      <c r="J98" s="8" t="s">
        <v>272</v>
      </c>
      <c r="K98" s="8" t="s">
        <v>273</v>
      </c>
    </row>
    <row r="99" spans="1:11" ht="45.95" customHeight="1" x14ac:dyDescent="0.25">
      <c r="A99" s="6"/>
      <c r="B99" s="6" t="s">
        <v>274</v>
      </c>
      <c r="C99" s="44" t="str">
        <f>IF($D$96="","in attesa della risposta API",IFERROR(INDEX(#REF!,$H$89),"")&amp;" · Normalizzazione: "&amp;"score = 0,5 + 0,5 × "&amp;FIXED($D$93,3,TRUE)&amp;" / "&amp;IF($D$94=INT($D$94),FIXED($D$94,0,TRUE),FIXED($D$94,1,TRUE))&amp;", limitato a [0;1]"&amp;" → VQF ("&amp;FIXED($D$96,2)&amp;")")</f>
        <v>in attesa della risposta API</v>
      </c>
      <c r="D99" s="41"/>
      <c r="E99" s="39"/>
      <c r="F99" s="36" t="s">
        <v>410</v>
      </c>
      <c r="I99" s="7" t="s">
        <v>244</v>
      </c>
      <c r="J99" s="8" t="s">
        <v>411</v>
      </c>
      <c r="K99" s="8" t="s">
        <v>277</v>
      </c>
    </row>
    <row r="101" spans="1:11" x14ac:dyDescent="0.25">
      <c r="A101" s="43" t="s">
        <v>412</v>
      </c>
      <c r="B101" s="41"/>
      <c r="C101" s="41"/>
      <c r="D101" s="41"/>
      <c r="E101" s="41"/>
      <c r="F101" s="39"/>
      <c r="G101" s="15" t="s">
        <v>221</v>
      </c>
      <c r="H101" s="16" t="str">
        <f>IFERROR(MATCH("D6.IRG",#REF!,0),"")</f>
        <v/>
      </c>
      <c r="J101" s="45" t="s">
        <v>413</v>
      </c>
      <c r="K101" s="46"/>
    </row>
    <row r="102" spans="1:11" ht="25.5" x14ac:dyDescent="0.25">
      <c r="A102" s="8" t="s">
        <v>64</v>
      </c>
      <c r="B102" s="10" t="s">
        <v>223</v>
      </c>
      <c r="C102" s="10" t="str">
        <f>IFERROR(INDEX(#REF!,$H$101),"componente_1")</f>
        <v>componente_1</v>
      </c>
      <c r="D102" s="17" t="str">
        <f>IFERROR(INDEX(#REF!,$H$101),"")</f>
        <v/>
      </c>
      <c r="E102" s="18" t="s">
        <v>224</v>
      </c>
      <c r="F102" s="36" t="s">
        <v>414</v>
      </c>
      <c r="G102" s="19" t="str">
        <f>IFERROR("anno "&amp;INDEX(#REF!,$H$101),"")</f>
        <v/>
      </c>
      <c r="I102" s="12" t="s">
        <v>226</v>
      </c>
      <c r="J102" s="8" t="s">
        <v>415</v>
      </c>
      <c r="K102" s="8" t="s">
        <v>228</v>
      </c>
    </row>
    <row r="103" spans="1:11" ht="25.5" x14ac:dyDescent="0.25">
      <c r="A103" s="6"/>
      <c r="B103" s="10" t="s">
        <v>223</v>
      </c>
      <c r="C103" s="10" t="str">
        <f>IFERROR(INDEX(#REF!,$H$101),"componente_2")</f>
        <v>componente_2</v>
      </c>
      <c r="D103" s="17" t="str">
        <f>IFERROR(INDEX(#REF!,$H$101),"")</f>
        <v/>
      </c>
      <c r="E103" s="18" t="s">
        <v>229</v>
      </c>
      <c r="F103" s="36" t="s">
        <v>416</v>
      </c>
      <c r="G103" s="19" t="str">
        <f>IFERROR("anno "&amp;INDEX(#REF!,$H$101),"")</f>
        <v/>
      </c>
      <c r="I103" s="12" t="s">
        <v>226</v>
      </c>
      <c r="J103" s="8" t="s">
        <v>417</v>
      </c>
      <c r="K103" s="8" t="s">
        <v>232</v>
      </c>
    </row>
    <row r="104" spans="1:11" ht="24" x14ac:dyDescent="0.25">
      <c r="A104" s="6"/>
      <c r="B104" s="10" t="s">
        <v>223</v>
      </c>
      <c r="C104" s="20" t="str">
        <f>"IRG = "&amp;IFERROR(INDEX(#REF!,$H$101),"")</f>
        <v xml:space="preserve">IRG = </v>
      </c>
      <c r="D104" s="21" t="str">
        <f>IFERROR(INDEX(#REF!,$H$101),"")</f>
        <v/>
      </c>
      <c r="E104" s="18" t="s">
        <v>233</v>
      </c>
      <c r="F104" s="36" t="s">
        <v>194</v>
      </c>
      <c r="G104" s="19" t="str">
        <f>IFERROR(INDEX(#REF!,$H$101),"")</f>
        <v/>
      </c>
      <c r="I104" s="12" t="s">
        <v>226</v>
      </c>
      <c r="J104" s="8" t="s">
        <v>418</v>
      </c>
      <c r="K104" s="8" t="s">
        <v>236</v>
      </c>
    </row>
    <row r="105" spans="1:11" ht="36" x14ac:dyDescent="0.25">
      <c r="A105" s="6"/>
      <c r="B105" s="9" t="s">
        <v>237</v>
      </c>
      <c r="C105" s="9" t="s">
        <v>419</v>
      </c>
      <c r="D105" s="29" t="str">
        <f>IFERROR($D$104,"")</f>
        <v/>
      </c>
      <c r="E105" s="23" t="s">
        <v>342</v>
      </c>
      <c r="F105" s="37" t="s">
        <v>240</v>
      </c>
      <c r="G105" s="6"/>
      <c r="I105" s="12" t="s">
        <v>226</v>
      </c>
      <c r="J105" s="8" t="s">
        <v>420</v>
      </c>
      <c r="K105" s="8" t="s">
        <v>236</v>
      </c>
    </row>
    <row r="106" spans="1:11" ht="25.5" x14ac:dyDescent="0.25">
      <c r="A106" s="6"/>
      <c r="B106" s="9" t="s">
        <v>237</v>
      </c>
      <c r="C106" s="9" t="s">
        <v>421</v>
      </c>
      <c r="D106" s="29" t="str">
        <f>IFERROR($D$105-1,"")</f>
        <v/>
      </c>
      <c r="E106" s="23" t="s">
        <v>243</v>
      </c>
      <c r="F106" s="37" t="s">
        <v>240</v>
      </c>
      <c r="G106" s="6"/>
      <c r="I106" s="7" t="s">
        <v>244</v>
      </c>
      <c r="J106" s="8" t="s">
        <v>245</v>
      </c>
      <c r="K106" s="8" t="s">
        <v>422</v>
      </c>
    </row>
    <row r="107" spans="1:11" ht="24" x14ac:dyDescent="0.25">
      <c r="A107" s="6"/>
      <c r="B107" s="9" t="s">
        <v>237</v>
      </c>
      <c r="C107" s="9" t="s">
        <v>249</v>
      </c>
      <c r="D107" s="24" t="str">
        <f>IFERROR(INDEX(#REF!,$H$101),"")</f>
        <v/>
      </c>
      <c r="E107" s="23" t="s">
        <v>250</v>
      </c>
      <c r="F107" s="37" t="s">
        <v>240</v>
      </c>
      <c r="G107" s="6"/>
      <c r="I107" s="12" t="s">
        <v>226</v>
      </c>
      <c r="J107" s="8" t="s">
        <v>423</v>
      </c>
      <c r="K107" s="8" t="s">
        <v>252</v>
      </c>
    </row>
    <row r="108" spans="1:11" ht="25.5" x14ac:dyDescent="0.25">
      <c r="A108" s="6"/>
      <c r="B108" s="9" t="s">
        <v>237</v>
      </c>
      <c r="C108" s="14" t="s">
        <v>424</v>
      </c>
      <c r="D108" s="25" t="str">
        <f>IFERROR(MAX(1,ROUND(100*(MIN(1,MAX(0,0.5+0.5*MAX(-1,MIN(1,$D$106/$D$107))))),0))/100,"")</f>
        <v/>
      </c>
      <c r="E108" s="23" t="s">
        <v>254</v>
      </c>
      <c r="F108" s="19" t="s">
        <v>255</v>
      </c>
      <c r="G108" s="19" t="str">
        <f>IFERROR("formula_score: "&amp;INDEX(#REF!,$H$101),"")</f>
        <v/>
      </c>
      <c r="I108" s="7" t="s">
        <v>244</v>
      </c>
      <c r="J108" s="8" t="s">
        <v>256</v>
      </c>
      <c r="K108" s="8" t="s">
        <v>257</v>
      </c>
    </row>
    <row r="109" spans="1:11" ht="25.5" x14ac:dyDescent="0.25">
      <c r="A109" s="6"/>
      <c r="B109" s="9" t="s">
        <v>258</v>
      </c>
      <c r="C109" s="14" t="s">
        <v>425</v>
      </c>
      <c r="D109" s="25" t="str">
        <f>IFERROR(INDEX(#REF!,$H$101)/100,"")</f>
        <v/>
      </c>
      <c r="E109" s="23" t="s">
        <v>121</v>
      </c>
      <c r="F109" s="36" t="s">
        <v>426</v>
      </c>
      <c r="G109" s="19" t="s">
        <v>261</v>
      </c>
      <c r="I109" s="12" t="s">
        <v>226</v>
      </c>
      <c r="J109" s="8" t="s">
        <v>427</v>
      </c>
      <c r="K109" s="8" t="s">
        <v>263</v>
      </c>
    </row>
    <row r="110" spans="1:11" ht="24" x14ac:dyDescent="0.25">
      <c r="A110" s="6"/>
      <c r="B110" s="9" t="s">
        <v>203</v>
      </c>
      <c r="C110" s="14" t="s">
        <v>428</v>
      </c>
      <c r="D110" s="26" t="str">
        <f>IFERROR(""&amp;INDEX(#REF!,$H$101),"")</f>
        <v/>
      </c>
      <c r="E110" s="23" t="s">
        <v>265</v>
      </c>
      <c r="F110" s="36" t="s">
        <v>195</v>
      </c>
      <c r="G110" s="19" t="s">
        <v>266</v>
      </c>
      <c r="I110" s="12" t="s">
        <v>226</v>
      </c>
      <c r="J110" s="8" t="s">
        <v>429</v>
      </c>
      <c r="K110" s="8" t="s">
        <v>268</v>
      </c>
    </row>
    <row r="111" spans="1:11" ht="36" x14ac:dyDescent="0.25">
      <c r="A111" s="6"/>
      <c r="B111" s="6" t="s">
        <v>269</v>
      </c>
      <c r="C111" s="6" t="s">
        <v>270</v>
      </c>
      <c r="D111" s="27" t="str">
        <f>IF(OR($D$108="",$D$109=""),"in attesa",IF(ABS($D$108-$D$109)&lt;0.005,"OK","Δ "&amp;FIXED($D$108-$D$109,2)))</f>
        <v>in attesa</v>
      </c>
      <c r="E111" s="6"/>
      <c r="F111" s="19" t="s">
        <v>255</v>
      </c>
      <c r="G111" s="19" t="s">
        <v>351</v>
      </c>
      <c r="I111" s="7" t="s">
        <v>244</v>
      </c>
      <c r="J111" s="8" t="s">
        <v>272</v>
      </c>
      <c r="K111" s="8" t="s">
        <v>273</v>
      </c>
    </row>
    <row r="112" spans="1:11" ht="45.95" customHeight="1" x14ac:dyDescent="0.25">
      <c r="A112" s="6"/>
      <c r="B112" s="6" t="s">
        <v>274</v>
      </c>
      <c r="C112" s="44" t="str">
        <f>IF($D$109="","in attesa della risposta API",IFERROR(INDEX(#REF!,$H$101),"")&amp;" · Normalizzazione: "&amp;"score = 0,5 + 0,5 × ("&amp;FIXED($D$105,3,TRUE)&amp;" − 1) / "&amp;IF($D$107=INT($D$107),FIXED($D$107,0,TRUE),FIXED($D$107,1,TRUE))&amp;", limitato a [0;1]"&amp;" → IRG ("&amp;FIXED($D$109,2)&amp;")")</f>
        <v>in attesa della risposta API</v>
      </c>
      <c r="D112" s="41"/>
      <c r="E112" s="39"/>
      <c r="F112" s="36" t="s">
        <v>430</v>
      </c>
      <c r="I112" s="7" t="s">
        <v>244</v>
      </c>
      <c r="J112" s="8" t="s">
        <v>431</v>
      </c>
      <c r="K112" s="8" t="s">
        <v>277</v>
      </c>
    </row>
    <row r="114" spans="1:11" x14ac:dyDescent="0.25">
      <c r="A114" s="43" t="s">
        <v>432</v>
      </c>
      <c r="B114" s="41"/>
      <c r="C114" s="41"/>
      <c r="D114" s="41"/>
      <c r="E114" s="41"/>
      <c r="F114" s="39"/>
      <c r="G114" s="15" t="s">
        <v>221</v>
      </c>
      <c r="H114" s="16" t="str">
        <f>IFERROR(MATCH("D6.RTG",#REF!,0),"")</f>
        <v/>
      </c>
      <c r="J114" s="45" t="s">
        <v>433</v>
      </c>
      <c r="K114" s="46"/>
    </row>
    <row r="115" spans="1:11" ht="24" x14ac:dyDescent="0.25">
      <c r="A115" s="8" t="s">
        <v>86</v>
      </c>
      <c r="B115" s="10" t="s">
        <v>223</v>
      </c>
      <c r="C115" s="10" t="str">
        <f>IFERROR(INDEX(#REF!,$H$114),"componente_1")</f>
        <v>componente_1</v>
      </c>
      <c r="D115" s="17" t="str">
        <f>IFERROR(INDEX(#REF!,$H$114),"")</f>
        <v/>
      </c>
      <c r="E115" s="18" t="s">
        <v>224</v>
      </c>
      <c r="F115" s="37" t="s">
        <v>434</v>
      </c>
      <c r="G115" s="19" t="str">
        <f>IFERROR("anno "&amp;INDEX(#REF!,$H$114),"")</f>
        <v/>
      </c>
      <c r="I115" s="12" t="s">
        <v>226</v>
      </c>
      <c r="J115" s="8" t="s">
        <v>435</v>
      </c>
      <c r="K115" s="8" t="s">
        <v>228</v>
      </c>
    </row>
    <row r="116" spans="1:11" ht="24" x14ac:dyDescent="0.25">
      <c r="A116" s="6"/>
      <c r="B116" s="10" t="s">
        <v>223</v>
      </c>
      <c r="C116" s="10" t="str">
        <f>IFERROR(INDEX(#REF!,$H$114),"componente_2")</f>
        <v>componente_2</v>
      </c>
      <c r="D116" s="17" t="str">
        <f>IFERROR(INDEX(#REF!,$H$114),"")</f>
        <v/>
      </c>
      <c r="E116" s="18" t="s">
        <v>229</v>
      </c>
      <c r="F116" s="37" t="s">
        <v>434</v>
      </c>
      <c r="G116" s="19" t="str">
        <f>IFERROR("anno "&amp;INDEX(#REF!,$H$114),"")</f>
        <v/>
      </c>
      <c r="I116" s="12" t="s">
        <v>226</v>
      </c>
      <c r="J116" s="8" t="s">
        <v>436</v>
      </c>
      <c r="K116" s="8" t="s">
        <v>232</v>
      </c>
    </row>
    <row r="117" spans="1:11" ht="24" x14ac:dyDescent="0.25">
      <c r="A117" s="6"/>
      <c r="B117" s="10" t="s">
        <v>223</v>
      </c>
      <c r="C117" s="20" t="str">
        <f>"RTG = "&amp;IFERROR(INDEX(#REF!,$H$114),"")</f>
        <v xml:space="preserve">RTG = </v>
      </c>
      <c r="D117" s="21" t="str">
        <f>IFERROR(INDEX(#REF!,$H$114),"")</f>
        <v/>
      </c>
      <c r="E117" s="18" t="s">
        <v>233</v>
      </c>
      <c r="F117" s="37" t="s">
        <v>434</v>
      </c>
      <c r="G117" s="19" t="str">
        <f>IFERROR(INDEX(#REF!,$H$114),"")</f>
        <v/>
      </c>
      <c r="I117" s="12" t="s">
        <v>226</v>
      </c>
      <c r="J117" s="8" t="s">
        <v>437</v>
      </c>
      <c r="K117" s="8" t="s">
        <v>236</v>
      </c>
    </row>
    <row r="118" spans="1:11" ht="36" x14ac:dyDescent="0.25">
      <c r="A118" s="6"/>
      <c r="B118" s="9" t="s">
        <v>237</v>
      </c>
      <c r="C118" s="9" t="s">
        <v>438</v>
      </c>
      <c r="D118" s="29" t="str">
        <f>IFERROR($D$117,"")</f>
        <v/>
      </c>
      <c r="E118" s="23" t="s">
        <v>342</v>
      </c>
      <c r="F118" s="37" t="s">
        <v>434</v>
      </c>
      <c r="G118" s="6"/>
      <c r="I118" s="12" t="s">
        <v>226</v>
      </c>
      <c r="J118" s="8" t="s">
        <v>439</v>
      </c>
      <c r="K118" s="8" t="s">
        <v>236</v>
      </c>
    </row>
    <row r="119" spans="1:11" ht="25.5" x14ac:dyDescent="0.25">
      <c r="A119" s="6"/>
      <c r="B119" s="9" t="s">
        <v>237</v>
      </c>
      <c r="C119" s="9" t="s">
        <v>440</v>
      </c>
      <c r="D119" s="29" t="str">
        <f>IFERROR(1/$D$118,"")</f>
        <v/>
      </c>
      <c r="E119" s="23" t="s">
        <v>243</v>
      </c>
      <c r="F119" s="37" t="s">
        <v>434</v>
      </c>
      <c r="G119" s="6"/>
      <c r="I119" s="7" t="s">
        <v>244</v>
      </c>
      <c r="J119" s="8" t="s">
        <v>245</v>
      </c>
      <c r="K119" s="8" t="s">
        <v>365</v>
      </c>
    </row>
    <row r="120" spans="1:11" ht="25.5" x14ac:dyDescent="0.25">
      <c r="A120" s="6"/>
      <c r="B120" s="9" t="s">
        <v>237</v>
      </c>
      <c r="C120" s="14" t="s">
        <v>441</v>
      </c>
      <c r="D120" s="25">
        <f>IFERROR(MAX(1,ROUND(100*(MIN(1,$D$118,$D$119)),0))/100,"")</f>
        <v>1</v>
      </c>
      <c r="E120" s="23" t="s">
        <v>254</v>
      </c>
      <c r="F120" s="19" t="s">
        <v>255</v>
      </c>
      <c r="G120" s="19" t="str">
        <f>IFERROR("formula_score: "&amp;INDEX(#REF!,$H$114),"")</f>
        <v/>
      </c>
      <c r="I120" s="7" t="s">
        <v>244</v>
      </c>
      <c r="J120" s="8" t="s">
        <v>256</v>
      </c>
      <c r="K120" s="8" t="s">
        <v>257</v>
      </c>
    </row>
    <row r="121" spans="1:11" ht="24" x14ac:dyDescent="0.25">
      <c r="A121" s="6"/>
      <c r="B121" s="9" t="s">
        <v>258</v>
      </c>
      <c r="C121" s="14" t="s">
        <v>442</v>
      </c>
      <c r="D121" s="25" t="str">
        <f>IFERROR(INDEX(#REF!,$H$114)/100,"")</f>
        <v/>
      </c>
      <c r="E121" s="23" t="s">
        <v>121</v>
      </c>
      <c r="F121" s="37" t="s">
        <v>434</v>
      </c>
      <c r="G121" s="19" t="s">
        <v>261</v>
      </c>
      <c r="I121" s="12" t="s">
        <v>226</v>
      </c>
      <c r="J121" s="8" t="s">
        <v>443</v>
      </c>
      <c r="K121" s="8" t="s">
        <v>263</v>
      </c>
    </row>
    <row r="122" spans="1:11" ht="24" x14ac:dyDescent="0.25">
      <c r="A122" s="6"/>
      <c r="B122" s="9" t="s">
        <v>203</v>
      </c>
      <c r="C122" s="14" t="s">
        <v>444</v>
      </c>
      <c r="D122" s="26" t="str">
        <f>IFERROR(""&amp;INDEX(#REF!,$H$114),"")</f>
        <v/>
      </c>
      <c r="E122" s="23" t="s">
        <v>265</v>
      </c>
      <c r="F122" s="37" t="s">
        <v>434</v>
      </c>
      <c r="G122" s="19" t="s">
        <v>266</v>
      </c>
      <c r="I122" s="12" t="s">
        <v>226</v>
      </c>
      <c r="J122" s="8" t="s">
        <v>445</v>
      </c>
      <c r="K122" s="8" t="s">
        <v>268</v>
      </c>
    </row>
    <row r="123" spans="1:11" ht="36" x14ac:dyDescent="0.25">
      <c r="A123" s="6"/>
      <c r="B123" s="6" t="s">
        <v>269</v>
      </c>
      <c r="C123" s="6" t="s">
        <v>270</v>
      </c>
      <c r="D123" s="27" t="str">
        <f>IF(OR($D$120="",$D$121=""),"in attesa",IF(ABS($D$120-$D$121)&lt;0.005,"OK","Δ "&amp;FIXED($D$120-$D$121,2)))</f>
        <v>in attesa</v>
      </c>
      <c r="E123" s="6"/>
      <c r="F123" s="19" t="s">
        <v>255</v>
      </c>
      <c r="G123" s="19" t="s">
        <v>351</v>
      </c>
      <c r="I123" s="7" t="s">
        <v>244</v>
      </c>
      <c r="J123" s="8" t="s">
        <v>272</v>
      </c>
      <c r="K123" s="8" t="s">
        <v>273</v>
      </c>
    </row>
    <row r="124" spans="1:11" ht="45.95" customHeight="1" x14ac:dyDescent="0.25">
      <c r="A124" s="6"/>
      <c r="B124" s="6" t="s">
        <v>274</v>
      </c>
      <c r="C124" s="44" t="str">
        <f>IF($D$121="","in attesa della risposta API",IFERROR(INDEX(#REF!,$H$114),"")&amp;" · Normalizzazione: "&amp;"score = min("&amp;FIXED($D$118,3,TRUE)&amp;"; "&amp;FIXED($D$119,3,TRUE)&amp;"), parità = 1"&amp;" → RTG ("&amp;FIXED($D$121,2)&amp;")")</f>
        <v>in attesa della risposta API</v>
      </c>
      <c r="D124" s="41"/>
      <c r="E124" s="39"/>
      <c r="F124" s="37" t="s">
        <v>434</v>
      </c>
      <c r="I124" s="7" t="s">
        <v>244</v>
      </c>
      <c r="J124" s="8" t="s">
        <v>446</v>
      </c>
      <c r="K124" s="8" t="s">
        <v>277</v>
      </c>
    </row>
    <row r="126" spans="1:11" x14ac:dyDescent="0.25">
      <c r="A126" s="43" t="s">
        <v>447</v>
      </c>
      <c r="B126" s="41"/>
      <c r="C126" s="41"/>
      <c r="D126" s="41"/>
      <c r="E126" s="41"/>
      <c r="F126" s="39"/>
      <c r="G126" s="15" t="s">
        <v>221</v>
      </c>
      <c r="H126" s="16" t="str">
        <f>IFERROR(MATCH("D6.RRG",#REF!,0),"")</f>
        <v/>
      </c>
      <c r="J126" s="45" t="s">
        <v>448</v>
      </c>
      <c r="K126" s="46"/>
    </row>
    <row r="127" spans="1:11" ht="24" x14ac:dyDescent="0.25">
      <c r="A127" s="8" t="s">
        <v>89</v>
      </c>
      <c r="B127" s="10" t="s">
        <v>223</v>
      </c>
      <c r="C127" s="10" t="str">
        <f>IFERROR(INDEX(#REF!,$H$126),"componente_1")</f>
        <v>componente_1</v>
      </c>
      <c r="D127" s="17" t="str">
        <f>IFERROR(INDEX(#REF!,$H$126),"")</f>
        <v/>
      </c>
      <c r="E127" s="18" t="s">
        <v>224</v>
      </c>
      <c r="F127" s="37" t="s">
        <v>434</v>
      </c>
      <c r="G127" s="19" t="str">
        <f>IFERROR("anno "&amp;INDEX(#REF!,$H$126),"")</f>
        <v/>
      </c>
      <c r="I127" s="12" t="s">
        <v>226</v>
      </c>
      <c r="J127" s="8" t="s">
        <v>449</v>
      </c>
      <c r="K127" s="8" t="s">
        <v>228</v>
      </c>
    </row>
    <row r="128" spans="1:11" ht="24" x14ac:dyDescent="0.25">
      <c r="A128" s="6"/>
      <c r="B128" s="10" t="s">
        <v>223</v>
      </c>
      <c r="C128" s="10" t="str">
        <f>IFERROR(INDEX(#REF!,$H$126),"componente_2")</f>
        <v>componente_2</v>
      </c>
      <c r="D128" s="17" t="str">
        <f>IFERROR(INDEX(#REF!,$H$126),"")</f>
        <v/>
      </c>
      <c r="E128" s="18" t="s">
        <v>229</v>
      </c>
      <c r="F128" s="37" t="s">
        <v>434</v>
      </c>
      <c r="G128" s="19" t="str">
        <f>IFERROR("anno "&amp;INDEX(#REF!,$H$126),"")</f>
        <v/>
      </c>
      <c r="I128" s="12" t="s">
        <v>226</v>
      </c>
      <c r="J128" s="8" t="s">
        <v>450</v>
      </c>
      <c r="K128" s="8" t="s">
        <v>232</v>
      </c>
    </row>
    <row r="129" spans="1:11" ht="24" x14ac:dyDescent="0.25">
      <c r="A129" s="6"/>
      <c r="B129" s="10" t="s">
        <v>223</v>
      </c>
      <c r="C129" s="20" t="str">
        <f>"RRG = "&amp;IFERROR(INDEX(#REF!,$H$126),"")</f>
        <v xml:space="preserve">RRG = </v>
      </c>
      <c r="D129" s="21" t="str">
        <f>IFERROR(INDEX(#REF!,$H$126),"")</f>
        <v/>
      </c>
      <c r="E129" s="18" t="s">
        <v>233</v>
      </c>
      <c r="F129" s="37" t="s">
        <v>434</v>
      </c>
      <c r="G129" s="19" t="str">
        <f>IFERROR(INDEX(#REF!,$H$126),"")</f>
        <v/>
      </c>
      <c r="I129" s="12" t="s">
        <v>226</v>
      </c>
      <c r="J129" s="8" t="s">
        <v>451</v>
      </c>
      <c r="K129" s="8" t="s">
        <v>236</v>
      </c>
    </row>
    <row r="130" spans="1:11" ht="36" x14ac:dyDescent="0.25">
      <c r="A130" s="6"/>
      <c r="B130" s="9" t="s">
        <v>237</v>
      </c>
      <c r="C130" s="9" t="s">
        <v>452</v>
      </c>
      <c r="D130" s="29" t="str">
        <f>IFERROR($D$129,"")</f>
        <v/>
      </c>
      <c r="E130" s="23" t="s">
        <v>342</v>
      </c>
      <c r="F130" s="37" t="s">
        <v>434</v>
      </c>
      <c r="G130" s="6"/>
      <c r="I130" s="12" t="s">
        <v>226</v>
      </c>
      <c r="J130" s="8" t="s">
        <v>453</v>
      </c>
      <c r="K130" s="8" t="s">
        <v>236</v>
      </c>
    </row>
    <row r="131" spans="1:11" ht="25.5" x14ac:dyDescent="0.25">
      <c r="A131" s="6"/>
      <c r="B131" s="9" t="s">
        <v>237</v>
      </c>
      <c r="C131" s="9" t="s">
        <v>454</v>
      </c>
      <c r="D131" s="29" t="str">
        <f>IFERROR(1/$D$130,"")</f>
        <v/>
      </c>
      <c r="E131" s="23" t="s">
        <v>243</v>
      </c>
      <c r="F131" s="37" t="s">
        <v>434</v>
      </c>
      <c r="G131" s="6"/>
      <c r="I131" s="7" t="s">
        <v>244</v>
      </c>
      <c r="J131" s="8" t="s">
        <v>245</v>
      </c>
      <c r="K131" s="8" t="s">
        <v>365</v>
      </c>
    </row>
    <row r="132" spans="1:11" ht="25.5" x14ac:dyDescent="0.25">
      <c r="A132" s="6"/>
      <c r="B132" s="9" t="s">
        <v>237</v>
      </c>
      <c r="C132" s="14" t="s">
        <v>455</v>
      </c>
      <c r="D132" s="25">
        <f>IFERROR(MAX(1,ROUND(100*(MIN(1,$D$130,$D$131)),0))/100,"")</f>
        <v>1</v>
      </c>
      <c r="E132" s="23" t="s">
        <v>254</v>
      </c>
      <c r="F132" s="19" t="s">
        <v>255</v>
      </c>
      <c r="G132" s="19" t="str">
        <f>IFERROR("formula_score: "&amp;INDEX(#REF!,$H$126),"")</f>
        <v/>
      </c>
      <c r="I132" s="7" t="s">
        <v>244</v>
      </c>
      <c r="J132" s="8" t="s">
        <v>256</v>
      </c>
      <c r="K132" s="8" t="s">
        <v>257</v>
      </c>
    </row>
    <row r="133" spans="1:11" ht="24" x14ac:dyDescent="0.25">
      <c r="A133" s="6"/>
      <c r="B133" s="9" t="s">
        <v>258</v>
      </c>
      <c r="C133" s="14" t="s">
        <v>456</v>
      </c>
      <c r="D133" s="25" t="str">
        <f>IFERROR(INDEX(#REF!,$H$126)/100,"")</f>
        <v/>
      </c>
      <c r="E133" s="23" t="s">
        <v>121</v>
      </c>
      <c r="F133" s="37" t="s">
        <v>434</v>
      </c>
      <c r="G133" s="19" t="s">
        <v>261</v>
      </c>
      <c r="I133" s="12" t="s">
        <v>226</v>
      </c>
      <c r="J133" s="8" t="s">
        <v>457</v>
      </c>
      <c r="K133" s="8" t="s">
        <v>263</v>
      </c>
    </row>
    <row r="134" spans="1:11" ht="24" x14ac:dyDescent="0.25">
      <c r="A134" s="6"/>
      <c r="B134" s="9" t="s">
        <v>203</v>
      </c>
      <c r="C134" s="14" t="s">
        <v>458</v>
      </c>
      <c r="D134" s="26" t="str">
        <f>IFERROR(""&amp;INDEX(#REF!,$H$126),"")</f>
        <v/>
      </c>
      <c r="E134" s="23" t="s">
        <v>265</v>
      </c>
      <c r="F134" s="37" t="s">
        <v>434</v>
      </c>
      <c r="G134" s="19" t="s">
        <v>266</v>
      </c>
      <c r="I134" s="12" t="s">
        <v>226</v>
      </c>
      <c r="J134" s="8" t="s">
        <v>459</v>
      </c>
      <c r="K134" s="8" t="s">
        <v>268</v>
      </c>
    </row>
    <row r="135" spans="1:11" ht="36" x14ac:dyDescent="0.25">
      <c r="A135" s="6"/>
      <c r="B135" s="6" t="s">
        <v>269</v>
      </c>
      <c r="C135" s="6" t="s">
        <v>270</v>
      </c>
      <c r="D135" s="27" t="str">
        <f>IF(OR($D$132="",$D$133=""),"in attesa",IF(ABS($D$132-$D$133)&lt;0.005,"OK","Δ "&amp;FIXED($D$132-$D$133,2)))</f>
        <v>in attesa</v>
      </c>
      <c r="E135" s="6"/>
      <c r="F135" s="19" t="s">
        <v>255</v>
      </c>
      <c r="G135" s="19" t="s">
        <v>351</v>
      </c>
      <c r="I135" s="7" t="s">
        <v>244</v>
      </c>
      <c r="J135" s="8" t="s">
        <v>272</v>
      </c>
      <c r="K135" s="8" t="s">
        <v>273</v>
      </c>
    </row>
    <row r="136" spans="1:11" ht="45.95" customHeight="1" x14ac:dyDescent="0.25">
      <c r="A136" s="6"/>
      <c r="B136" s="6" t="s">
        <v>274</v>
      </c>
      <c r="C136" s="44" t="str">
        <f>IF($D$133="","in attesa della risposta API",IFERROR(INDEX(#REF!,$H$126),"")&amp;" · Normalizzazione: "&amp;"score = min("&amp;FIXED($D$130,3,TRUE)&amp;"; "&amp;FIXED($D$131,3,TRUE)&amp;"), parità = 1"&amp;" → RRG ("&amp;FIXED($D$133,2)&amp;")")</f>
        <v>in attesa della risposta API</v>
      </c>
      <c r="D136" s="41"/>
      <c r="E136" s="39"/>
      <c r="F136" s="37" t="s">
        <v>434</v>
      </c>
      <c r="I136" s="7" t="s">
        <v>244</v>
      </c>
      <c r="J136" s="8" t="s">
        <v>460</v>
      </c>
      <c r="K136" s="8" t="s">
        <v>277</v>
      </c>
    </row>
    <row r="138" spans="1:11" x14ac:dyDescent="0.25">
      <c r="A138" s="43" t="s">
        <v>461</v>
      </c>
      <c r="B138" s="41"/>
      <c r="C138" s="41"/>
      <c r="D138" s="41"/>
      <c r="E138" s="41"/>
      <c r="F138" s="39"/>
      <c r="G138" s="15" t="s">
        <v>221</v>
      </c>
      <c r="H138" s="16" t="str">
        <f>IFERROR(MATCH("D6.IFL",#REF!,0),"")</f>
        <v/>
      </c>
      <c r="J138" s="45" t="s">
        <v>462</v>
      </c>
      <c r="K138" s="46"/>
    </row>
    <row r="139" spans="1:11" ht="24" x14ac:dyDescent="0.25">
      <c r="A139" s="8" t="s">
        <v>69</v>
      </c>
      <c r="B139" s="10" t="s">
        <v>223</v>
      </c>
      <c r="C139" s="10" t="str">
        <f>IFERROR(INDEX(#REF!,$H$138),"componente_1")</f>
        <v>componente_1</v>
      </c>
      <c r="D139" s="17" t="str">
        <f>IFERROR(INDEX(#REF!,$H$138),"")</f>
        <v/>
      </c>
      <c r="E139" s="18" t="s">
        <v>224</v>
      </c>
      <c r="F139" s="36" t="s">
        <v>463</v>
      </c>
      <c r="G139" s="19" t="str">
        <f>IFERROR("anno "&amp;INDEX(#REF!,$H$138),"")</f>
        <v/>
      </c>
      <c r="I139" s="12" t="s">
        <v>226</v>
      </c>
      <c r="J139" s="8" t="s">
        <v>464</v>
      </c>
      <c r="K139" s="8" t="s">
        <v>228</v>
      </c>
    </row>
    <row r="140" spans="1:11" ht="24" x14ac:dyDescent="0.25">
      <c r="A140" s="6"/>
      <c r="B140" s="10" t="s">
        <v>223</v>
      </c>
      <c r="C140" s="10" t="str">
        <f>IFERROR(INDEX(#REF!,$H$138),"componente_2")</f>
        <v>componente_2</v>
      </c>
      <c r="D140" s="17" t="str">
        <f>IFERROR(INDEX(#REF!,$H$138),"")</f>
        <v/>
      </c>
      <c r="E140" s="18" t="s">
        <v>229</v>
      </c>
      <c r="F140" s="36" t="s">
        <v>319</v>
      </c>
      <c r="G140" s="19" t="str">
        <f>IFERROR("anno "&amp;INDEX(#REF!,$H$138),"")</f>
        <v/>
      </c>
      <c r="I140" s="12" t="s">
        <v>226</v>
      </c>
      <c r="J140" s="8" t="s">
        <v>465</v>
      </c>
      <c r="K140" s="8" t="s">
        <v>232</v>
      </c>
    </row>
    <row r="141" spans="1:11" ht="24" x14ac:dyDescent="0.25">
      <c r="A141" s="6"/>
      <c r="B141" s="10" t="s">
        <v>223</v>
      </c>
      <c r="C141" s="20" t="str">
        <f>"IFL = "&amp;IFERROR(INDEX(#REF!,$H$138),"")</f>
        <v xml:space="preserve">IFL = </v>
      </c>
      <c r="D141" s="21" t="str">
        <f>IFERROR(INDEX(#REF!,$H$138),"")</f>
        <v/>
      </c>
      <c r="E141" s="18" t="s">
        <v>233</v>
      </c>
      <c r="F141" s="36" t="s">
        <v>196</v>
      </c>
      <c r="G141" s="19" t="str">
        <f>IFERROR(INDEX(#REF!,$H$138),"")</f>
        <v/>
      </c>
      <c r="I141" s="12" t="s">
        <v>226</v>
      </c>
      <c r="J141" s="8" t="s">
        <v>466</v>
      </c>
      <c r="K141" s="8" t="s">
        <v>236</v>
      </c>
    </row>
    <row r="142" spans="1:11" ht="25.5" x14ac:dyDescent="0.25">
      <c r="A142" s="6"/>
      <c r="B142" s="9" t="s">
        <v>237</v>
      </c>
      <c r="C142" s="9" t="s">
        <v>467</v>
      </c>
      <c r="D142" s="22" t="str">
        <f>IFERROR($D$139/$D$140,"")</f>
        <v/>
      </c>
      <c r="E142" s="23" t="s">
        <v>286</v>
      </c>
      <c r="F142" s="37" t="s">
        <v>240</v>
      </c>
      <c r="G142" s="6"/>
      <c r="I142" s="7" t="s">
        <v>244</v>
      </c>
      <c r="J142" s="8" t="s">
        <v>468</v>
      </c>
      <c r="K142" s="8" t="s">
        <v>288</v>
      </c>
    </row>
    <row r="143" spans="1:11" ht="24" x14ac:dyDescent="0.25">
      <c r="A143" s="6"/>
      <c r="B143" s="9" t="s">
        <v>237</v>
      </c>
      <c r="C143" s="9" t="s">
        <v>469</v>
      </c>
      <c r="D143" s="24" t="str">
        <f>IFERROR(INDEX(#REF!,$H$138),"")</f>
        <v/>
      </c>
      <c r="E143" s="23" t="s">
        <v>250</v>
      </c>
      <c r="F143" s="37" t="s">
        <v>240</v>
      </c>
      <c r="G143" s="6"/>
      <c r="I143" s="12" t="s">
        <v>226</v>
      </c>
      <c r="J143" s="8" t="s">
        <v>470</v>
      </c>
      <c r="K143" s="8" t="s">
        <v>252</v>
      </c>
    </row>
    <row r="144" spans="1:11" ht="25.5" x14ac:dyDescent="0.25">
      <c r="A144" s="6"/>
      <c r="B144" s="9" t="s">
        <v>237</v>
      </c>
      <c r="C144" s="14" t="s">
        <v>471</v>
      </c>
      <c r="D144" s="25" t="str">
        <f>IFERROR(MAX(1,ROUND(100*(MIN(1,MAX(0,1-$D$142/$D$143))),0))/100,"")</f>
        <v/>
      </c>
      <c r="E144" s="23" t="s">
        <v>254</v>
      </c>
      <c r="F144" s="19" t="s">
        <v>255</v>
      </c>
      <c r="G144" s="19" t="str">
        <f>IFERROR("formula_score: "&amp;INDEX(#REF!,$H$138),"")</f>
        <v/>
      </c>
      <c r="I144" s="7" t="s">
        <v>244</v>
      </c>
      <c r="J144" s="8" t="s">
        <v>256</v>
      </c>
      <c r="K144" s="8" t="s">
        <v>257</v>
      </c>
    </row>
    <row r="145" spans="1:11" ht="24" x14ac:dyDescent="0.25">
      <c r="A145" s="6"/>
      <c r="B145" s="9" t="s">
        <v>258</v>
      </c>
      <c r="C145" s="14" t="s">
        <v>472</v>
      </c>
      <c r="D145" s="25" t="str">
        <f>IFERROR(INDEX(#REF!,$H$138)/100,"")</f>
        <v/>
      </c>
      <c r="E145" s="23" t="s">
        <v>121</v>
      </c>
      <c r="F145" s="36" t="s">
        <v>473</v>
      </c>
      <c r="G145" s="19" t="s">
        <v>261</v>
      </c>
      <c r="I145" s="12" t="s">
        <v>226</v>
      </c>
      <c r="J145" s="8" t="s">
        <v>474</v>
      </c>
      <c r="K145" s="8" t="s">
        <v>263</v>
      </c>
    </row>
    <row r="146" spans="1:11" ht="24" x14ac:dyDescent="0.25">
      <c r="A146" s="6"/>
      <c r="B146" s="9" t="s">
        <v>203</v>
      </c>
      <c r="C146" s="14" t="s">
        <v>475</v>
      </c>
      <c r="D146" s="26" t="str">
        <f>IFERROR(""&amp;INDEX(#REF!,$H$138),"")</f>
        <v/>
      </c>
      <c r="E146" s="23" t="s">
        <v>265</v>
      </c>
      <c r="F146" s="36" t="s">
        <v>197</v>
      </c>
      <c r="G146" s="19" t="s">
        <v>266</v>
      </c>
      <c r="I146" s="12" t="s">
        <v>226</v>
      </c>
      <c r="J146" s="8" t="s">
        <v>476</v>
      </c>
      <c r="K146" s="8" t="s">
        <v>268</v>
      </c>
    </row>
    <row r="147" spans="1:11" ht="25.5" x14ac:dyDescent="0.25">
      <c r="A147" s="6"/>
      <c r="B147" s="6" t="s">
        <v>269</v>
      </c>
      <c r="C147" s="6" t="s">
        <v>270</v>
      </c>
      <c r="D147" s="27" t="str">
        <f>IF(OR($D$144="",$D$145=""),"in attesa",IF(ABS($D$144-$D$145)&lt;0.005,"OK","Δ "&amp;FIXED($D$144-$D$145,2)))</f>
        <v>in attesa</v>
      </c>
      <c r="E147" s="6"/>
      <c r="F147" s="19" t="s">
        <v>255</v>
      </c>
      <c r="G147" s="19" t="s">
        <v>271</v>
      </c>
      <c r="I147" s="7" t="s">
        <v>244</v>
      </c>
      <c r="J147" s="8" t="s">
        <v>272</v>
      </c>
      <c r="K147" s="8" t="s">
        <v>273</v>
      </c>
    </row>
    <row r="148" spans="1:11" ht="45.95" customHeight="1" x14ac:dyDescent="0.25">
      <c r="A148" s="6"/>
      <c r="B148" s="6" t="s">
        <v>274</v>
      </c>
      <c r="C148" s="44" t="str">
        <f>IF($D$145="","in attesa della risposta API",IFERROR(INDEX(#REF!,$H$138),"")&amp;" · Normalizzazione: "&amp;"score = max(0; 1 − "&amp;FIXED($D$142,4,TRUE)&amp;" / "&amp;IF($D$143=INT($D$143),FIXED($D$143,0,TRUE),FIXED($D$143,1,TRUE))&amp;")"&amp;" → IFL ("&amp;FIXED($D$145,2)&amp;")")</f>
        <v>in attesa della risposta API</v>
      </c>
      <c r="D148" s="41"/>
      <c r="E148" s="39"/>
      <c r="F148" s="36" t="s">
        <v>477</v>
      </c>
      <c r="I148" s="7" t="s">
        <v>244</v>
      </c>
      <c r="J148" s="8" t="s">
        <v>478</v>
      </c>
      <c r="K148" s="8" t="s">
        <v>277</v>
      </c>
    </row>
    <row r="150" spans="1:11" x14ac:dyDescent="0.25">
      <c r="A150" s="43" t="s">
        <v>479</v>
      </c>
      <c r="B150" s="41"/>
      <c r="C150" s="41"/>
      <c r="D150" s="41"/>
      <c r="E150" s="41"/>
      <c r="F150" s="39"/>
      <c r="G150" s="15" t="s">
        <v>221</v>
      </c>
      <c r="H150" s="16" t="str">
        <f>IFERROR(MATCH("D6.TFL",#REF!,0),"")</f>
        <v/>
      </c>
      <c r="J150" s="45" t="s">
        <v>480</v>
      </c>
      <c r="K150" s="46"/>
    </row>
    <row r="151" spans="1:11" ht="24" x14ac:dyDescent="0.25">
      <c r="A151" s="8" t="s">
        <v>74</v>
      </c>
      <c r="B151" s="10" t="s">
        <v>223</v>
      </c>
      <c r="C151" s="10" t="str">
        <f>IFERROR(INDEX(#REF!,$H$150),"componente_1")</f>
        <v>componente_1</v>
      </c>
      <c r="D151" s="17" t="str">
        <f>IFERROR(INDEX(#REF!,$H$150),"")</f>
        <v/>
      </c>
      <c r="E151" s="18" t="s">
        <v>224</v>
      </c>
      <c r="F151" s="36" t="s">
        <v>481</v>
      </c>
      <c r="G151" s="19" t="str">
        <f>IFERROR("anno "&amp;INDEX(#REF!,$H$150),"")</f>
        <v/>
      </c>
      <c r="I151" s="12" t="s">
        <v>226</v>
      </c>
      <c r="J151" s="8" t="s">
        <v>482</v>
      </c>
      <c r="K151" s="8" t="s">
        <v>228</v>
      </c>
    </row>
    <row r="152" spans="1:11" ht="24" x14ac:dyDescent="0.25">
      <c r="A152" s="6"/>
      <c r="B152" s="10" t="s">
        <v>223</v>
      </c>
      <c r="C152" s="10" t="str">
        <f>IFERROR(INDEX(#REF!,$H$150),"componente_2")</f>
        <v>componente_2</v>
      </c>
      <c r="D152" s="17" t="str">
        <f>IFERROR(INDEX(#REF!,$H$150),"")</f>
        <v/>
      </c>
      <c r="E152" s="18" t="s">
        <v>229</v>
      </c>
      <c r="F152" s="36" t="s">
        <v>483</v>
      </c>
      <c r="G152" s="19" t="str">
        <f>IFERROR("anno "&amp;INDEX(#REF!,$H$150),"")</f>
        <v/>
      </c>
      <c r="I152" s="12" t="s">
        <v>226</v>
      </c>
      <c r="J152" s="8" t="s">
        <v>484</v>
      </c>
      <c r="K152" s="8" t="s">
        <v>232</v>
      </c>
    </row>
    <row r="153" spans="1:11" ht="24" x14ac:dyDescent="0.25">
      <c r="A153" s="6"/>
      <c r="B153" s="10" t="s">
        <v>223</v>
      </c>
      <c r="C153" s="20" t="str">
        <f>"TFL = "&amp;IFERROR(INDEX(#REF!,$H$150),"")</f>
        <v xml:space="preserve">TFL = </v>
      </c>
      <c r="D153" s="21" t="str">
        <f>IFERROR(INDEX(#REF!,$H$150),"")</f>
        <v/>
      </c>
      <c r="E153" s="18" t="s">
        <v>233</v>
      </c>
      <c r="F153" s="36" t="s">
        <v>198</v>
      </c>
      <c r="G153" s="19" t="str">
        <f>IFERROR(INDEX(#REF!,$H$150),"")</f>
        <v/>
      </c>
      <c r="I153" s="12" t="s">
        <v>226</v>
      </c>
      <c r="J153" s="8" t="s">
        <v>485</v>
      </c>
      <c r="K153" s="8" t="s">
        <v>236</v>
      </c>
    </row>
    <row r="154" spans="1:11" ht="24" x14ac:dyDescent="0.25">
      <c r="A154" s="6"/>
      <c r="B154" s="9" t="s">
        <v>237</v>
      </c>
      <c r="C154" s="9" t="s">
        <v>486</v>
      </c>
      <c r="D154" s="29" t="str">
        <f>IFERROR($D$153,"")</f>
        <v/>
      </c>
      <c r="E154" s="23" t="s">
        <v>239</v>
      </c>
      <c r="F154" s="37" t="s">
        <v>240</v>
      </c>
      <c r="G154" s="6"/>
      <c r="I154" s="12" t="s">
        <v>226</v>
      </c>
      <c r="J154" s="8" t="s">
        <v>487</v>
      </c>
      <c r="K154" s="8" t="s">
        <v>236</v>
      </c>
    </row>
    <row r="155" spans="1:11" ht="25.5" x14ac:dyDescent="0.25">
      <c r="A155" s="6"/>
      <c r="B155" s="9" t="s">
        <v>237</v>
      </c>
      <c r="C155" s="9" t="s">
        <v>383</v>
      </c>
      <c r="D155" s="22" t="str">
        <f>IFERROR($D$154/3,"")</f>
        <v/>
      </c>
      <c r="E155" s="23" t="s">
        <v>243</v>
      </c>
      <c r="F155" s="37" t="s">
        <v>240</v>
      </c>
      <c r="G155" s="6"/>
      <c r="I155" s="7" t="s">
        <v>244</v>
      </c>
      <c r="J155" s="8" t="s">
        <v>245</v>
      </c>
      <c r="K155" s="8" t="s">
        <v>384</v>
      </c>
    </row>
    <row r="156" spans="1:11" ht="24" x14ac:dyDescent="0.25">
      <c r="A156" s="6"/>
      <c r="B156" s="9" t="s">
        <v>237</v>
      </c>
      <c r="C156" s="9" t="s">
        <v>249</v>
      </c>
      <c r="D156" s="24" t="str">
        <f>IFERROR(INDEX(#REF!,$H$150),"")</f>
        <v/>
      </c>
      <c r="E156" s="23" t="s">
        <v>250</v>
      </c>
      <c r="F156" s="37" t="s">
        <v>240</v>
      </c>
      <c r="G156" s="6"/>
      <c r="I156" s="12" t="s">
        <v>226</v>
      </c>
      <c r="J156" s="8" t="s">
        <v>488</v>
      </c>
      <c r="K156" s="8" t="s">
        <v>252</v>
      </c>
    </row>
    <row r="157" spans="1:11" ht="25.5" x14ac:dyDescent="0.25">
      <c r="A157" s="6"/>
      <c r="B157" s="9" t="s">
        <v>237</v>
      </c>
      <c r="C157" s="14" t="s">
        <v>489</v>
      </c>
      <c r="D157" s="25" t="str">
        <f>IFERROR(MAX(1,ROUND(100*(MIN(1,MAX(0,0.5-0.5*MAX(-1,MIN(1,$D$155/$D$156))))),0))/100,"")</f>
        <v/>
      </c>
      <c r="E157" s="23" t="s">
        <v>254</v>
      </c>
      <c r="F157" s="19" t="s">
        <v>255</v>
      </c>
      <c r="G157" s="19" t="str">
        <f>IFERROR("formula_score: "&amp;INDEX(#REF!,$H$150),"")</f>
        <v/>
      </c>
      <c r="I157" s="7" t="s">
        <v>244</v>
      </c>
      <c r="J157" s="8" t="s">
        <v>256</v>
      </c>
      <c r="K157" s="8" t="s">
        <v>257</v>
      </c>
    </row>
    <row r="158" spans="1:11" ht="24" x14ac:dyDescent="0.25">
      <c r="A158" s="6"/>
      <c r="B158" s="9" t="s">
        <v>258</v>
      </c>
      <c r="C158" s="14" t="s">
        <v>490</v>
      </c>
      <c r="D158" s="25" t="str">
        <f>IFERROR(INDEX(#REF!,$H$150)/100,"")</f>
        <v/>
      </c>
      <c r="E158" s="23" t="s">
        <v>121</v>
      </c>
      <c r="F158" s="36" t="s">
        <v>491</v>
      </c>
      <c r="G158" s="19" t="s">
        <v>261</v>
      </c>
      <c r="I158" s="12" t="s">
        <v>226</v>
      </c>
      <c r="J158" s="8" t="s">
        <v>492</v>
      </c>
      <c r="K158" s="8" t="s">
        <v>263</v>
      </c>
    </row>
    <row r="159" spans="1:11" ht="24" x14ac:dyDescent="0.25">
      <c r="A159" s="6"/>
      <c r="B159" s="9" t="s">
        <v>203</v>
      </c>
      <c r="C159" s="14" t="s">
        <v>493</v>
      </c>
      <c r="D159" s="26" t="str">
        <f>IFERROR(""&amp;INDEX(#REF!,$H$150),"")</f>
        <v/>
      </c>
      <c r="E159" s="23" t="s">
        <v>265</v>
      </c>
      <c r="F159" s="36" t="s">
        <v>184</v>
      </c>
      <c r="G159" s="19" t="s">
        <v>266</v>
      </c>
      <c r="I159" s="12" t="s">
        <v>226</v>
      </c>
      <c r="J159" s="8" t="s">
        <v>494</v>
      </c>
      <c r="K159" s="8" t="s">
        <v>268</v>
      </c>
    </row>
    <row r="160" spans="1:11" ht="36" x14ac:dyDescent="0.25">
      <c r="A160" s="6"/>
      <c r="B160" s="6" t="s">
        <v>269</v>
      </c>
      <c r="C160" s="6" t="s">
        <v>270</v>
      </c>
      <c r="D160" s="27" t="str">
        <f>IF(OR($D$157="",$D$158=""),"in attesa",IF(ABS($D$157-$D$158)&lt;0.005,"OK","Δ "&amp;FIXED($D$157-$D$158,2)))</f>
        <v>in attesa</v>
      </c>
      <c r="E160" s="6"/>
      <c r="F160" s="19" t="s">
        <v>255</v>
      </c>
      <c r="G160" s="19" t="s">
        <v>351</v>
      </c>
      <c r="I160" s="7" t="s">
        <v>244</v>
      </c>
      <c r="J160" s="8" t="s">
        <v>272</v>
      </c>
      <c r="K160" s="8" t="s">
        <v>273</v>
      </c>
    </row>
    <row r="161" spans="1:11" ht="45.95" customHeight="1" x14ac:dyDescent="0.25">
      <c r="A161" s="6"/>
      <c r="B161" s="6" t="s">
        <v>274</v>
      </c>
      <c r="C161" s="44" t="str">
        <f>IF($D$158="","in attesa della risposta API",IFERROR(INDEX(#REF!,$H$150),"")&amp;" · Normalizzazione: "&amp;"media annua = "&amp;FIXED($D$154,3,TRUE)&amp;" / 3 = "&amp;FIXED($D$155,4,TRUE)&amp;"; score = 0,5 − 0,5 × "&amp;FIXED($D$155,4,TRUE)&amp;" / "&amp;IF($D$156=INT($D$156),FIXED($D$156,0,TRUE),FIXED($D$156,1,TRUE))&amp;", limitato a [0;1]"&amp;" → TFL ("&amp;FIXED($D$158,2)&amp;")")</f>
        <v>in attesa della risposta API</v>
      </c>
      <c r="D161" s="41"/>
      <c r="E161" s="39"/>
      <c r="F161" s="36" t="s">
        <v>495</v>
      </c>
      <c r="I161" s="7" t="s">
        <v>244</v>
      </c>
      <c r="J161" s="8" t="s">
        <v>496</v>
      </c>
      <c r="K161" s="8" t="s">
        <v>277</v>
      </c>
    </row>
    <row r="163" spans="1:11" x14ac:dyDescent="0.25">
      <c r="A163" s="43" t="s">
        <v>497</v>
      </c>
      <c r="B163" s="41"/>
      <c r="C163" s="41"/>
      <c r="D163" s="41"/>
      <c r="E163" s="41"/>
      <c r="F163" s="39"/>
      <c r="G163" s="15" t="s">
        <v>221</v>
      </c>
      <c r="H163" s="16" t="str">
        <f>IFERROR(MATCH("D6.IDLA",#REF!,0),"")</f>
        <v/>
      </c>
      <c r="J163" s="45" t="s">
        <v>498</v>
      </c>
      <c r="K163" s="46"/>
    </row>
    <row r="164" spans="1:11" ht="24" x14ac:dyDescent="0.25">
      <c r="A164" s="8" t="s">
        <v>79</v>
      </c>
      <c r="B164" s="10" t="s">
        <v>223</v>
      </c>
      <c r="C164" s="10" t="str">
        <f>IFERROR(INDEX(#REF!,$H$163),"componente_1")</f>
        <v>componente_1</v>
      </c>
      <c r="D164" s="17" t="str">
        <f>IFERROR(INDEX(#REF!,$H$163),"")</f>
        <v/>
      </c>
      <c r="E164" s="18" t="s">
        <v>224</v>
      </c>
      <c r="F164" s="36" t="s">
        <v>499</v>
      </c>
      <c r="G164" s="19" t="str">
        <f>IFERROR("anno "&amp;INDEX(#REF!,$H$163),"")</f>
        <v/>
      </c>
      <c r="I164" s="12" t="s">
        <v>226</v>
      </c>
      <c r="J164" s="8" t="s">
        <v>500</v>
      </c>
      <c r="K164" s="8" t="s">
        <v>228</v>
      </c>
    </row>
    <row r="165" spans="1:11" ht="24" x14ac:dyDescent="0.25">
      <c r="A165" s="6"/>
      <c r="B165" s="10" t="s">
        <v>223</v>
      </c>
      <c r="C165" s="10" t="str">
        <f>IFERROR(INDEX(#REF!,$H$163),"componente_2")</f>
        <v>componente_2</v>
      </c>
      <c r="D165" s="17" t="str">
        <f>IFERROR(INDEX(#REF!,$H$163),"")</f>
        <v/>
      </c>
      <c r="E165" s="18" t="s">
        <v>229</v>
      </c>
      <c r="F165" s="36" t="s">
        <v>319</v>
      </c>
      <c r="G165" s="19" t="str">
        <f>IFERROR("anno "&amp;INDEX(#REF!,$H$163),"")</f>
        <v/>
      </c>
      <c r="I165" s="12" t="s">
        <v>226</v>
      </c>
      <c r="J165" s="8" t="s">
        <v>501</v>
      </c>
      <c r="K165" s="8" t="s">
        <v>232</v>
      </c>
    </row>
    <row r="166" spans="1:11" ht="25.5" x14ac:dyDescent="0.25">
      <c r="A166" s="6"/>
      <c r="B166" s="10" t="s">
        <v>223</v>
      </c>
      <c r="C166" s="20" t="str">
        <f>"IDLA = "&amp;IFERROR(INDEX(#REF!,$H$163),"")</f>
        <v xml:space="preserve">IDLA = </v>
      </c>
      <c r="D166" s="21" t="str">
        <f>IFERROR(INDEX(#REF!,$H$163),"")</f>
        <v/>
      </c>
      <c r="E166" s="18" t="s">
        <v>233</v>
      </c>
      <c r="F166" s="36" t="s">
        <v>199</v>
      </c>
      <c r="G166" s="19" t="str">
        <f>IFERROR(INDEX(#REF!,$H$163),"")</f>
        <v/>
      </c>
      <c r="I166" s="12" t="s">
        <v>226</v>
      </c>
      <c r="J166" s="8" t="s">
        <v>502</v>
      </c>
      <c r="K166" s="8" t="s">
        <v>236</v>
      </c>
    </row>
    <row r="167" spans="1:11" ht="25.5" x14ac:dyDescent="0.25">
      <c r="A167" s="6"/>
      <c r="B167" s="9" t="s">
        <v>237</v>
      </c>
      <c r="C167" s="9" t="s">
        <v>503</v>
      </c>
      <c r="D167" s="29" t="str">
        <f>IFERROR($D$164/$D$165,"")</f>
        <v/>
      </c>
      <c r="E167" s="23" t="s">
        <v>286</v>
      </c>
      <c r="F167" s="37" t="s">
        <v>240</v>
      </c>
      <c r="G167" s="6"/>
      <c r="I167" s="7" t="s">
        <v>244</v>
      </c>
      <c r="J167" s="8" t="s">
        <v>504</v>
      </c>
      <c r="K167" s="8" t="s">
        <v>288</v>
      </c>
    </row>
    <row r="168" spans="1:11" ht="24" x14ac:dyDescent="0.25">
      <c r="A168" s="6"/>
      <c r="B168" s="9" t="s">
        <v>237</v>
      </c>
      <c r="C168" s="9" t="s">
        <v>324</v>
      </c>
      <c r="D168" s="24" t="str">
        <f>IFERROR(INDEX(#REF!,$H$163),"")</f>
        <v/>
      </c>
      <c r="E168" s="23" t="s">
        <v>250</v>
      </c>
      <c r="F168" s="37" t="s">
        <v>240</v>
      </c>
      <c r="G168" s="6"/>
      <c r="I168" s="12" t="s">
        <v>226</v>
      </c>
      <c r="J168" s="8" t="s">
        <v>505</v>
      </c>
      <c r="K168" s="8" t="s">
        <v>252</v>
      </c>
    </row>
    <row r="169" spans="1:11" ht="25.5" x14ac:dyDescent="0.25">
      <c r="A169" s="6"/>
      <c r="B169" s="9" t="s">
        <v>237</v>
      </c>
      <c r="C169" s="14" t="s">
        <v>506</v>
      </c>
      <c r="D169" s="25" t="str">
        <f>IFERROR(MAX(1,ROUND(100*(MIN(1,MAX(0,$D$167/$D$168))),0))/100,"")</f>
        <v/>
      </c>
      <c r="E169" s="23" t="s">
        <v>254</v>
      </c>
      <c r="F169" s="19" t="s">
        <v>255</v>
      </c>
      <c r="G169" s="19" t="str">
        <f>IFERROR("formula_score: "&amp;INDEX(#REF!,$H$163),"")</f>
        <v/>
      </c>
      <c r="I169" s="7" t="s">
        <v>244</v>
      </c>
      <c r="J169" s="8" t="s">
        <v>256</v>
      </c>
      <c r="K169" s="8" t="s">
        <v>257</v>
      </c>
    </row>
    <row r="170" spans="1:11" ht="24" x14ac:dyDescent="0.25">
      <c r="A170" s="6"/>
      <c r="B170" s="9" t="s">
        <v>258</v>
      </c>
      <c r="C170" s="14" t="s">
        <v>507</v>
      </c>
      <c r="D170" s="25" t="str">
        <f>IFERROR(INDEX(#REF!,$H$163)/100,"")</f>
        <v/>
      </c>
      <c r="E170" s="23" t="s">
        <v>121</v>
      </c>
      <c r="F170" s="36" t="s">
        <v>508</v>
      </c>
      <c r="G170" s="19" t="s">
        <v>261</v>
      </c>
      <c r="I170" s="12" t="s">
        <v>226</v>
      </c>
      <c r="J170" s="8" t="s">
        <v>509</v>
      </c>
      <c r="K170" s="8" t="s">
        <v>263</v>
      </c>
    </row>
    <row r="171" spans="1:11" ht="24" x14ac:dyDescent="0.25">
      <c r="A171" s="6"/>
      <c r="B171" s="9" t="s">
        <v>203</v>
      </c>
      <c r="C171" s="14" t="s">
        <v>510</v>
      </c>
      <c r="D171" s="26" t="str">
        <f>IFERROR(""&amp;INDEX(#REF!,$H$163),"")</f>
        <v/>
      </c>
      <c r="E171" s="23" t="s">
        <v>265</v>
      </c>
      <c r="F171" s="36" t="s">
        <v>190</v>
      </c>
      <c r="G171" s="19" t="s">
        <v>266</v>
      </c>
      <c r="I171" s="12" t="s">
        <v>226</v>
      </c>
      <c r="J171" s="8" t="s">
        <v>511</v>
      </c>
      <c r="K171" s="8" t="s">
        <v>268</v>
      </c>
    </row>
    <row r="172" spans="1:11" ht="25.5" x14ac:dyDescent="0.25">
      <c r="A172" s="6"/>
      <c r="B172" s="6" t="s">
        <v>269</v>
      </c>
      <c r="C172" s="6" t="s">
        <v>270</v>
      </c>
      <c r="D172" s="27" t="str">
        <f>IF(OR($D$169="",$D$170=""),"in attesa",IF(ABS($D$169-$D$170)&lt;0.005,"OK","Δ "&amp;FIXED($D$169-$D$170,2)))</f>
        <v>in attesa</v>
      </c>
      <c r="E172" s="6"/>
      <c r="F172" s="19" t="s">
        <v>255</v>
      </c>
      <c r="G172" s="19" t="s">
        <v>271</v>
      </c>
      <c r="I172" s="7" t="s">
        <v>244</v>
      </c>
      <c r="J172" s="8" t="s">
        <v>272</v>
      </c>
      <c r="K172" s="8" t="s">
        <v>273</v>
      </c>
    </row>
    <row r="173" spans="1:11" ht="45.95" customHeight="1" x14ac:dyDescent="0.25">
      <c r="A173" s="6"/>
      <c r="B173" s="6" t="s">
        <v>274</v>
      </c>
      <c r="C173" s="44" t="str">
        <f>IF($D$170="","in attesa della risposta API",IFERROR(INDEX(#REF!,$H$163),"")&amp;" · Normalizzazione: "&amp;"score = min(1; "&amp;FIXED($D$167,3,TRUE)&amp;" / "&amp;IF($D$168=INT($D$168),FIXED($D$168,0,TRUE),FIXED($D$168,1,TRUE))&amp;") con target "&amp;IF($D$168=INT($D$168),FIXED($D$168,0,TRUE),FIXED($D$168,1,TRUE))&amp;" di "&amp;IFERROR(INDEX(#REF!,$H$163),"")&amp;" → IDLA ("&amp;FIXED($D$170,2)&amp;")")</f>
        <v>in attesa della risposta API</v>
      </c>
      <c r="D173" s="41"/>
      <c r="E173" s="39"/>
      <c r="F173" s="36" t="s">
        <v>512</v>
      </c>
      <c r="I173" s="7" t="s">
        <v>244</v>
      </c>
      <c r="J173" s="8" t="s">
        <v>513</v>
      </c>
      <c r="K173" s="8" t="s">
        <v>277</v>
      </c>
    </row>
    <row r="175" spans="1:11" x14ac:dyDescent="0.25">
      <c r="A175" s="43" t="s">
        <v>514</v>
      </c>
      <c r="B175" s="41"/>
      <c r="C175" s="41"/>
      <c r="D175" s="41"/>
      <c r="E175" s="41"/>
      <c r="F175" s="39"/>
      <c r="G175" s="15" t="s">
        <v>221</v>
      </c>
      <c r="H175" s="16" t="str">
        <f>IFERROR(MATCH("D6.TDLA",#REF!,0),"")</f>
        <v/>
      </c>
      <c r="J175" s="45" t="s">
        <v>515</v>
      </c>
      <c r="K175" s="46"/>
    </row>
    <row r="176" spans="1:11" ht="24" x14ac:dyDescent="0.25">
      <c r="A176" s="8" t="s">
        <v>83</v>
      </c>
      <c r="B176" s="10" t="s">
        <v>223</v>
      </c>
      <c r="C176" s="10" t="str">
        <f>IFERROR(INDEX(#REF!,$H$175),"componente_1")</f>
        <v>componente_1</v>
      </c>
      <c r="D176" s="17" t="str">
        <f>IFERROR(INDEX(#REF!,$H$175),"")</f>
        <v/>
      </c>
      <c r="E176" s="18" t="s">
        <v>224</v>
      </c>
      <c r="F176" s="36" t="s">
        <v>516</v>
      </c>
      <c r="G176" s="19" t="str">
        <f>IFERROR("anno "&amp;INDEX(#REF!,$H$175),"")</f>
        <v/>
      </c>
      <c r="I176" s="12" t="s">
        <v>226</v>
      </c>
      <c r="J176" s="8" t="s">
        <v>517</v>
      </c>
      <c r="K176" s="8" t="s">
        <v>228</v>
      </c>
    </row>
    <row r="177" spans="1:11" ht="24" x14ac:dyDescent="0.25">
      <c r="A177" s="6"/>
      <c r="B177" s="10" t="s">
        <v>223</v>
      </c>
      <c r="C177" s="10" t="str">
        <f>IFERROR(INDEX(#REF!,$H$175),"componente_2")</f>
        <v>componente_2</v>
      </c>
      <c r="D177" s="17" t="str">
        <f>IFERROR(INDEX(#REF!,$H$175),"")</f>
        <v/>
      </c>
      <c r="E177" s="18" t="s">
        <v>229</v>
      </c>
      <c r="F177" s="36" t="s">
        <v>518</v>
      </c>
      <c r="G177" s="19" t="str">
        <f>IFERROR("anno "&amp;INDEX(#REF!,$H$175),"")</f>
        <v/>
      </c>
      <c r="I177" s="12" t="s">
        <v>226</v>
      </c>
      <c r="J177" s="8" t="s">
        <v>519</v>
      </c>
      <c r="K177" s="8" t="s">
        <v>232</v>
      </c>
    </row>
    <row r="178" spans="1:11" ht="24" x14ac:dyDescent="0.25">
      <c r="A178" s="6"/>
      <c r="B178" s="10" t="s">
        <v>223</v>
      </c>
      <c r="C178" s="20" t="str">
        <f>"TDLA = "&amp;IFERROR(INDEX(#REF!,$H$175),"")</f>
        <v xml:space="preserve">TDLA = </v>
      </c>
      <c r="D178" s="21" t="str">
        <f>IFERROR(INDEX(#REF!,$H$175),"")</f>
        <v/>
      </c>
      <c r="E178" s="18" t="s">
        <v>233</v>
      </c>
      <c r="F178" s="36" t="s">
        <v>200</v>
      </c>
      <c r="G178" s="19" t="str">
        <f>IFERROR(INDEX(#REF!,$H$175),"")</f>
        <v/>
      </c>
      <c r="I178" s="12" t="s">
        <v>226</v>
      </c>
      <c r="J178" s="8" t="s">
        <v>520</v>
      </c>
      <c r="K178" s="8" t="s">
        <v>236</v>
      </c>
    </row>
    <row r="179" spans="1:11" ht="24" x14ac:dyDescent="0.25">
      <c r="A179" s="6"/>
      <c r="B179" s="9" t="s">
        <v>237</v>
      </c>
      <c r="C179" s="9" t="s">
        <v>521</v>
      </c>
      <c r="D179" s="29" t="str">
        <f>IFERROR($D$178,"")</f>
        <v/>
      </c>
      <c r="E179" s="23" t="s">
        <v>239</v>
      </c>
      <c r="F179" s="37" t="s">
        <v>240</v>
      </c>
      <c r="G179" s="6"/>
      <c r="I179" s="12" t="s">
        <v>226</v>
      </c>
      <c r="J179" s="8" t="s">
        <v>522</v>
      </c>
      <c r="K179" s="8" t="s">
        <v>236</v>
      </c>
    </row>
    <row r="180" spans="1:11" ht="25.5" x14ac:dyDescent="0.25">
      <c r="A180" s="6"/>
      <c r="B180" s="9" t="s">
        <v>237</v>
      </c>
      <c r="C180" s="9" t="s">
        <v>383</v>
      </c>
      <c r="D180" s="22" t="str">
        <f>IFERROR($D$179/3,"")</f>
        <v/>
      </c>
      <c r="E180" s="23" t="s">
        <v>243</v>
      </c>
      <c r="F180" s="37" t="s">
        <v>240</v>
      </c>
      <c r="G180" s="6"/>
      <c r="I180" s="7" t="s">
        <v>244</v>
      </c>
      <c r="J180" s="8" t="s">
        <v>245</v>
      </c>
      <c r="K180" s="8" t="s">
        <v>384</v>
      </c>
    </row>
    <row r="181" spans="1:11" ht="24" x14ac:dyDescent="0.25">
      <c r="A181" s="6"/>
      <c r="B181" s="9" t="s">
        <v>237</v>
      </c>
      <c r="C181" s="9" t="s">
        <v>249</v>
      </c>
      <c r="D181" s="24" t="str">
        <f>IFERROR(INDEX(#REF!,$H$175),"")</f>
        <v/>
      </c>
      <c r="E181" s="23" t="s">
        <v>250</v>
      </c>
      <c r="F181" s="37" t="s">
        <v>240</v>
      </c>
      <c r="G181" s="6"/>
      <c r="I181" s="12" t="s">
        <v>226</v>
      </c>
      <c r="J181" s="8" t="s">
        <v>523</v>
      </c>
      <c r="K181" s="8" t="s">
        <v>252</v>
      </c>
    </row>
    <row r="182" spans="1:11" ht="25.5" x14ac:dyDescent="0.25">
      <c r="A182" s="6"/>
      <c r="B182" s="9" t="s">
        <v>237</v>
      </c>
      <c r="C182" s="14" t="s">
        <v>524</v>
      </c>
      <c r="D182" s="25" t="str">
        <f>IFERROR(MAX(1,ROUND(100*(MIN(1,MAX(0,0.5+0.5*MAX(-1,MIN(1,$D$180/$D$181))))),0))/100,"")</f>
        <v/>
      </c>
      <c r="E182" s="23" t="s">
        <v>254</v>
      </c>
      <c r="F182" s="19" t="s">
        <v>255</v>
      </c>
      <c r="G182" s="19" t="str">
        <f>IFERROR("formula_score: "&amp;INDEX(#REF!,$H$175),"")</f>
        <v/>
      </c>
      <c r="I182" s="7" t="s">
        <v>244</v>
      </c>
      <c r="J182" s="8" t="s">
        <v>256</v>
      </c>
      <c r="K182" s="8" t="s">
        <v>257</v>
      </c>
    </row>
    <row r="183" spans="1:11" ht="24" x14ac:dyDescent="0.25">
      <c r="A183" s="6"/>
      <c r="B183" s="9" t="s">
        <v>258</v>
      </c>
      <c r="C183" s="14" t="s">
        <v>525</v>
      </c>
      <c r="D183" s="25" t="str">
        <f>IFERROR(INDEX(#REF!,$H$175)/100,"")</f>
        <v/>
      </c>
      <c r="E183" s="23" t="s">
        <v>121</v>
      </c>
      <c r="F183" s="36" t="s">
        <v>526</v>
      </c>
      <c r="G183" s="19" t="s">
        <v>261</v>
      </c>
      <c r="I183" s="12" t="s">
        <v>226</v>
      </c>
      <c r="J183" s="8" t="s">
        <v>527</v>
      </c>
      <c r="K183" s="8" t="s">
        <v>263</v>
      </c>
    </row>
    <row r="184" spans="1:11" ht="24" x14ac:dyDescent="0.25">
      <c r="A184" s="6"/>
      <c r="B184" s="9" t="s">
        <v>203</v>
      </c>
      <c r="C184" s="14" t="s">
        <v>528</v>
      </c>
      <c r="D184" s="26" t="str">
        <f>IFERROR(""&amp;INDEX(#REF!,$H$175),"")</f>
        <v/>
      </c>
      <c r="E184" s="23" t="s">
        <v>265</v>
      </c>
      <c r="F184" s="36" t="s">
        <v>201</v>
      </c>
      <c r="G184" s="19" t="s">
        <v>266</v>
      </c>
      <c r="I184" s="12" t="s">
        <v>226</v>
      </c>
      <c r="J184" s="8" t="s">
        <v>529</v>
      </c>
      <c r="K184" s="8" t="s">
        <v>268</v>
      </c>
    </row>
    <row r="185" spans="1:11" ht="36" x14ac:dyDescent="0.25">
      <c r="A185" s="6"/>
      <c r="B185" s="6" t="s">
        <v>269</v>
      </c>
      <c r="C185" s="6" t="s">
        <v>270</v>
      </c>
      <c r="D185" s="27" t="str">
        <f>IF(OR($D$182="",$D$183=""),"in attesa",IF(ABS($D$182-$D$183)&lt;0.005,"OK","Δ "&amp;FIXED($D$182-$D$183,2)))</f>
        <v>in attesa</v>
      </c>
      <c r="E185" s="6"/>
      <c r="F185" s="19" t="s">
        <v>255</v>
      </c>
      <c r="G185" s="19" t="s">
        <v>351</v>
      </c>
      <c r="I185" s="7" t="s">
        <v>244</v>
      </c>
      <c r="J185" s="8" t="s">
        <v>272</v>
      </c>
      <c r="K185" s="8" t="s">
        <v>273</v>
      </c>
    </row>
    <row r="186" spans="1:11" ht="45.95" customHeight="1" x14ac:dyDescent="0.25">
      <c r="A186" s="6"/>
      <c r="B186" s="6" t="s">
        <v>274</v>
      </c>
      <c r="C186" s="44" t="str">
        <f>IF($D$183="","in attesa della risposta API",IFERROR(INDEX(#REF!,$H$175),"")&amp;" · Normalizzazione: "&amp;"media annua = "&amp;FIXED($D$179,3,TRUE)&amp;" / 3 = "&amp;FIXED($D$180,4,TRUE)&amp;"; score = 0,5 + 0,5 × "&amp;FIXED($D$180,4,TRUE)&amp;" / "&amp;IF($D$181=INT($D$181),FIXED($D$181,0,TRUE),FIXED($D$181,1,TRUE))&amp;", limitato a [0;1]"&amp;" → TDLA ("&amp;FIXED($D$183,2)&amp;")")</f>
        <v>in attesa della risposta API</v>
      </c>
      <c r="D186" s="41"/>
      <c r="E186" s="39"/>
      <c r="F186" s="36" t="s">
        <v>530</v>
      </c>
      <c r="I186" s="7" t="s">
        <v>244</v>
      </c>
      <c r="J186" s="8" t="s">
        <v>531</v>
      </c>
      <c r="K186" s="8" t="s">
        <v>277</v>
      </c>
    </row>
    <row r="188" spans="1:11" x14ac:dyDescent="0.25">
      <c r="A188" s="43" t="s">
        <v>532</v>
      </c>
      <c r="B188" s="41"/>
      <c r="C188" s="41"/>
      <c r="D188" s="41"/>
      <c r="E188" s="41"/>
      <c r="F188" s="39"/>
      <c r="G188" s="15" t="s">
        <v>221</v>
      </c>
      <c r="H188" s="16" t="str">
        <f>IFERROR(MATCH("D6.IRIC",#REF!,0),"")</f>
        <v/>
      </c>
      <c r="J188" s="45" t="s">
        <v>533</v>
      </c>
      <c r="K188" s="46"/>
    </row>
    <row r="189" spans="1:11" ht="24" x14ac:dyDescent="0.25">
      <c r="A189" s="8" t="s">
        <v>182</v>
      </c>
      <c r="B189" s="10" t="s">
        <v>223</v>
      </c>
      <c r="C189" s="10" t="str">
        <f>IFERROR(INDEX(#REF!,$H$188),"componente_1")</f>
        <v>componente_1</v>
      </c>
      <c r="D189" s="17" t="str">
        <f>IFERROR(INDEX(#REF!,$H$188),"")</f>
        <v/>
      </c>
      <c r="E189" s="18" t="s">
        <v>224</v>
      </c>
      <c r="F189" s="37" t="s">
        <v>434</v>
      </c>
      <c r="G189" s="19" t="str">
        <f>IFERROR("anno "&amp;INDEX(#REF!,$H$188),"")</f>
        <v/>
      </c>
      <c r="I189" s="12" t="s">
        <v>226</v>
      </c>
      <c r="J189" s="8" t="s">
        <v>534</v>
      </c>
      <c r="K189" s="8" t="s">
        <v>228</v>
      </c>
    </row>
    <row r="190" spans="1:11" ht="24" x14ac:dyDescent="0.25">
      <c r="A190" s="6"/>
      <c r="B190" s="10" t="s">
        <v>223</v>
      </c>
      <c r="C190" s="10" t="str">
        <f>IFERROR(INDEX(#REF!,$H$188),"componente_2")</f>
        <v>componente_2</v>
      </c>
      <c r="D190" s="17" t="str">
        <f>IFERROR(INDEX(#REF!,$H$188),"")</f>
        <v/>
      </c>
      <c r="E190" s="18" t="s">
        <v>229</v>
      </c>
      <c r="F190" s="37" t="s">
        <v>434</v>
      </c>
      <c r="G190" s="19" t="str">
        <f>IFERROR("anno "&amp;INDEX(#REF!,$H$188),"")</f>
        <v/>
      </c>
      <c r="I190" s="12" t="s">
        <v>226</v>
      </c>
      <c r="J190" s="8" t="s">
        <v>535</v>
      </c>
      <c r="K190" s="8" t="s">
        <v>232</v>
      </c>
    </row>
    <row r="191" spans="1:11" ht="24" x14ac:dyDescent="0.25">
      <c r="A191" s="6"/>
      <c r="B191" s="10" t="s">
        <v>223</v>
      </c>
      <c r="C191" s="20" t="str">
        <f>"IRIC = "&amp;IFERROR(INDEX(#REF!,$H$188),"")</f>
        <v xml:space="preserve">IRIC = </v>
      </c>
      <c r="D191" s="21" t="str">
        <f>IFERROR(INDEX(#REF!,$H$188),"")</f>
        <v/>
      </c>
      <c r="E191" s="18" t="s">
        <v>233</v>
      </c>
      <c r="F191" s="37" t="s">
        <v>434</v>
      </c>
      <c r="G191" s="19" t="str">
        <f>IFERROR(INDEX(#REF!,$H$188),"")</f>
        <v/>
      </c>
      <c r="I191" s="12" t="s">
        <v>226</v>
      </c>
      <c r="J191" s="8" t="s">
        <v>536</v>
      </c>
      <c r="K191" s="8" t="s">
        <v>236</v>
      </c>
    </row>
    <row r="192" spans="1:11" x14ac:dyDescent="0.25">
      <c r="A192" s="6"/>
      <c r="B192" s="9" t="s">
        <v>237</v>
      </c>
      <c r="C192" s="9" t="s">
        <v>537</v>
      </c>
      <c r="D192" s="29" t="str">
        <f>IFERROR($D$191,"")</f>
        <v/>
      </c>
      <c r="E192" s="23" t="s">
        <v>239</v>
      </c>
      <c r="F192" s="37" t="s">
        <v>434</v>
      </c>
      <c r="G192" s="6"/>
      <c r="I192" s="12" t="s">
        <v>226</v>
      </c>
      <c r="J192" s="8" t="s">
        <v>538</v>
      </c>
      <c r="K192" s="8" t="s">
        <v>236</v>
      </c>
    </row>
    <row r="193" spans="1:11" ht="25.5" x14ac:dyDescent="0.25">
      <c r="A193" s="6"/>
      <c r="B193" s="9" t="s">
        <v>237</v>
      </c>
      <c r="C193" s="9" t="s">
        <v>539</v>
      </c>
      <c r="D193" s="29" t="str">
        <f>IFERROR(ABS($D$192),"")</f>
        <v/>
      </c>
      <c r="E193" s="23" t="s">
        <v>243</v>
      </c>
      <c r="F193" s="37" t="s">
        <v>434</v>
      </c>
      <c r="G193" s="6"/>
      <c r="I193" s="7" t="s">
        <v>244</v>
      </c>
      <c r="J193" s="8" t="s">
        <v>245</v>
      </c>
      <c r="K193" s="8" t="s">
        <v>540</v>
      </c>
    </row>
    <row r="194" spans="1:11" ht="25.5" x14ac:dyDescent="0.25">
      <c r="A194" s="6"/>
      <c r="B194" s="9" t="s">
        <v>237</v>
      </c>
      <c r="C194" s="14" t="s">
        <v>541</v>
      </c>
      <c r="D194" s="25" t="str">
        <f>IFERROR(MAX(1,ROUND(100*(1/(1+$D$193)),0))/100,"")</f>
        <v/>
      </c>
      <c r="E194" s="23" t="s">
        <v>254</v>
      </c>
      <c r="F194" s="19" t="s">
        <v>255</v>
      </c>
      <c r="G194" s="19" t="str">
        <f>IFERROR("formula_score: "&amp;INDEX(#REF!,$H$188),"")</f>
        <v/>
      </c>
      <c r="I194" s="7" t="s">
        <v>244</v>
      </c>
      <c r="J194" s="8" t="s">
        <v>256</v>
      </c>
      <c r="K194" s="8" t="s">
        <v>257</v>
      </c>
    </row>
    <row r="195" spans="1:11" ht="24" x14ac:dyDescent="0.25">
      <c r="A195" s="6"/>
      <c r="B195" s="9" t="s">
        <v>258</v>
      </c>
      <c r="C195" s="14" t="s">
        <v>542</v>
      </c>
      <c r="D195" s="25" t="str">
        <f>IFERROR(INDEX(#REF!,$H$188)/100,"")</f>
        <v/>
      </c>
      <c r="E195" s="23" t="s">
        <v>121</v>
      </c>
      <c r="F195" s="37" t="s">
        <v>434</v>
      </c>
      <c r="G195" s="19" t="s">
        <v>261</v>
      </c>
      <c r="I195" s="12" t="s">
        <v>226</v>
      </c>
      <c r="J195" s="8" t="s">
        <v>543</v>
      </c>
      <c r="K195" s="8" t="s">
        <v>263</v>
      </c>
    </row>
    <row r="196" spans="1:11" ht="24" x14ac:dyDescent="0.25">
      <c r="A196" s="6"/>
      <c r="B196" s="9" t="s">
        <v>203</v>
      </c>
      <c r="C196" s="14" t="s">
        <v>544</v>
      </c>
      <c r="D196" s="26" t="str">
        <f>IFERROR(""&amp;INDEX(#REF!,$H$188),"")</f>
        <v/>
      </c>
      <c r="E196" s="23" t="s">
        <v>265</v>
      </c>
      <c r="F196" s="37" t="s">
        <v>434</v>
      </c>
      <c r="G196" s="19" t="s">
        <v>266</v>
      </c>
      <c r="I196" s="12" t="s">
        <v>226</v>
      </c>
      <c r="J196" s="8" t="s">
        <v>545</v>
      </c>
      <c r="K196" s="8" t="s">
        <v>268</v>
      </c>
    </row>
    <row r="197" spans="1:11" ht="25.5" x14ac:dyDescent="0.25">
      <c r="A197" s="6"/>
      <c r="B197" s="6" t="s">
        <v>269</v>
      </c>
      <c r="C197" s="6" t="s">
        <v>270</v>
      </c>
      <c r="D197" s="27" t="str">
        <f>IF(OR($D$194="",$D$195=""),"in attesa",IF(ABS($D$194-$D$195)&lt;0.005,"OK","Δ "&amp;FIXED($D$194-$D$195,2)))</f>
        <v>in attesa</v>
      </c>
      <c r="E197" s="6"/>
      <c r="F197" s="19" t="s">
        <v>255</v>
      </c>
      <c r="G197" s="19" t="s">
        <v>271</v>
      </c>
      <c r="I197" s="7" t="s">
        <v>244</v>
      </c>
      <c r="J197" s="8" t="s">
        <v>272</v>
      </c>
      <c r="K197" s="8" t="s">
        <v>273</v>
      </c>
    </row>
    <row r="198" spans="1:11" ht="45.95" customHeight="1" x14ac:dyDescent="0.25">
      <c r="A198" s="6"/>
      <c r="B198" s="6" t="s">
        <v>274</v>
      </c>
      <c r="C198" s="44" t="str">
        <f>IF($D$195="","in attesa della risposta API",IFERROR(INDEX(#REF!,$H$188),"")&amp;" · Normalizzazione: "&amp;"score = 1 / (1 + |"&amp;FIXED($D$192,3,TRUE)&amp;"|): 0 è la neutralità"&amp;" → IRIC ("&amp;FIXED($D$195,2)&amp;")")</f>
        <v>in attesa della risposta API</v>
      </c>
      <c r="D198" s="41"/>
      <c r="E198" s="39"/>
      <c r="F198" s="37" t="s">
        <v>434</v>
      </c>
      <c r="I198" s="7" t="s">
        <v>244</v>
      </c>
      <c r="J198" s="8" t="s">
        <v>546</v>
      </c>
      <c r="K198" s="8" t="s">
        <v>277</v>
      </c>
    </row>
  </sheetData>
  <mergeCells count="48">
    <mergeCell ref="J175:K175"/>
    <mergeCell ref="C124:E124"/>
    <mergeCell ref="A101:F101"/>
    <mergeCell ref="J40:K40"/>
    <mergeCell ref="A4:F4"/>
    <mergeCell ref="C62:E62"/>
    <mergeCell ref="C27:E27"/>
    <mergeCell ref="A76:F76"/>
    <mergeCell ref="J4:K4"/>
    <mergeCell ref="A114:F114"/>
    <mergeCell ref="C148:E148"/>
    <mergeCell ref="A18:F18"/>
    <mergeCell ref="A138:F138"/>
    <mergeCell ref="A89:F89"/>
    <mergeCell ref="J18:K18"/>
    <mergeCell ref="J101:K101"/>
    <mergeCell ref="J52:K52"/>
    <mergeCell ref="C16:E16"/>
    <mergeCell ref="A29:F29"/>
    <mergeCell ref="J126:K126"/>
    <mergeCell ref="C99:E99"/>
    <mergeCell ref="J29:K29"/>
    <mergeCell ref="J89:K89"/>
    <mergeCell ref="J64:K64"/>
    <mergeCell ref="J114:K114"/>
    <mergeCell ref="J163:K163"/>
    <mergeCell ref="C38:E38"/>
    <mergeCell ref="J188:K188"/>
    <mergeCell ref="C112:E112"/>
    <mergeCell ref="C161:E161"/>
    <mergeCell ref="J138:K138"/>
    <mergeCell ref="C186:E186"/>
    <mergeCell ref="J76:K76"/>
    <mergeCell ref="C136:E136"/>
    <mergeCell ref="A40:F40"/>
    <mergeCell ref="C74:E74"/>
    <mergeCell ref="J150:K150"/>
    <mergeCell ref="C50:E50"/>
    <mergeCell ref="A163:F163"/>
    <mergeCell ref="A150:F150"/>
    <mergeCell ref="A52:F52"/>
    <mergeCell ref="C198:E198"/>
    <mergeCell ref="A175:F175"/>
    <mergeCell ref="A126:F126"/>
    <mergeCell ref="A64:F64"/>
    <mergeCell ref="A188:F188"/>
    <mergeCell ref="C173:E173"/>
    <mergeCell ref="C87:E87"/>
  </mergeCells>
  <conditionalFormatting sqref="D4:D200">
    <cfRule type="expression" dxfId="1" priority="1">
      <formula>D4="OK"</formula>
    </cfRule>
    <cfRule type="expression" dxfId="0" priority="2">
      <formula>LEFT(D4,1)="Δ"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9"/>
  <sheetViews>
    <sheetView workbookViewId="0">
      <selection activeCell="A2" sqref="A2:XFD2"/>
    </sheetView>
  </sheetViews>
  <sheetFormatPr defaultRowHeight="15" x14ac:dyDescent="0.25"/>
  <cols>
    <col min="1" max="1" width="14" customWidth="1"/>
    <col min="2" max="2" width="24" customWidth="1"/>
    <col min="3" max="3" width="32" customWidth="1"/>
    <col min="4" max="4" width="70" customWidth="1"/>
    <col min="5" max="6" width="46" customWidth="1"/>
    <col min="7" max="7" width="14" customWidth="1"/>
  </cols>
  <sheetData>
    <row r="1" spans="1:7" ht="16.5" x14ac:dyDescent="0.25">
      <c r="A1" s="1" t="s">
        <v>547</v>
      </c>
    </row>
    <row r="3" spans="1:7" ht="38.25" x14ac:dyDescent="0.25">
      <c r="A3" s="4" t="s">
        <v>162</v>
      </c>
      <c r="B3" s="4" t="s">
        <v>5</v>
      </c>
      <c r="C3" s="4" t="s">
        <v>163</v>
      </c>
      <c r="D3" s="4" t="s">
        <v>164</v>
      </c>
      <c r="E3" s="4" t="s">
        <v>548</v>
      </c>
      <c r="F3" s="4" t="s">
        <v>549</v>
      </c>
      <c r="G3" s="4" t="s">
        <v>550</v>
      </c>
    </row>
    <row r="4" spans="1:7" ht="30" customHeight="1" x14ac:dyDescent="0.25">
      <c r="A4" s="8" t="s">
        <v>26</v>
      </c>
      <c r="B4" s="6" t="s">
        <v>27</v>
      </c>
      <c r="C4" s="8" t="s">
        <v>166</v>
      </c>
      <c r="D4" s="8" t="s">
        <v>167</v>
      </c>
      <c r="E4" s="8" t="s">
        <v>26</v>
      </c>
      <c r="F4" s="8" t="s">
        <v>551</v>
      </c>
      <c r="G4" s="6" t="s">
        <v>33</v>
      </c>
    </row>
    <row r="5" spans="1:7" ht="30" customHeight="1" x14ac:dyDescent="0.25">
      <c r="A5" s="8" t="s">
        <v>31</v>
      </c>
      <c r="B5" s="6" t="s">
        <v>32</v>
      </c>
      <c r="C5" s="8" t="s">
        <v>166</v>
      </c>
      <c r="D5" s="8" t="s">
        <v>168</v>
      </c>
      <c r="E5" s="8" t="s">
        <v>31</v>
      </c>
      <c r="F5" s="8" t="s">
        <v>552</v>
      </c>
      <c r="G5" s="6" t="s">
        <v>28</v>
      </c>
    </row>
    <row r="6" spans="1:7" ht="30" customHeight="1" x14ac:dyDescent="0.25">
      <c r="A6" s="8" t="s">
        <v>36</v>
      </c>
      <c r="B6" s="6" t="s">
        <v>37</v>
      </c>
      <c r="C6" s="8" t="s">
        <v>166</v>
      </c>
      <c r="D6" s="8" t="s">
        <v>169</v>
      </c>
      <c r="E6" s="8" t="s">
        <v>36</v>
      </c>
      <c r="F6" s="8" t="s">
        <v>552</v>
      </c>
      <c r="G6" s="6" t="s">
        <v>28</v>
      </c>
    </row>
    <row r="7" spans="1:7" ht="30" customHeight="1" x14ac:dyDescent="0.25">
      <c r="A7" s="8" t="s">
        <v>41</v>
      </c>
      <c r="B7" s="6" t="s">
        <v>42</v>
      </c>
      <c r="C7" s="8" t="s">
        <v>166</v>
      </c>
      <c r="D7" s="8" t="s">
        <v>170</v>
      </c>
      <c r="E7" s="8" t="s">
        <v>41</v>
      </c>
      <c r="F7" s="8" t="s">
        <v>551</v>
      </c>
      <c r="G7" s="6" t="s">
        <v>28</v>
      </c>
    </row>
    <row r="8" spans="1:7" ht="30" customHeight="1" x14ac:dyDescent="0.25">
      <c r="A8" s="8" t="s">
        <v>46</v>
      </c>
      <c r="B8" s="6" t="s">
        <v>27</v>
      </c>
      <c r="C8" s="8" t="s">
        <v>166</v>
      </c>
      <c r="D8" s="8" t="s">
        <v>171</v>
      </c>
      <c r="E8" s="8" t="s">
        <v>46</v>
      </c>
      <c r="F8" s="8" t="s">
        <v>551</v>
      </c>
      <c r="G8" s="6" t="s">
        <v>23</v>
      </c>
    </row>
    <row r="9" spans="1:7" ht="30" customHeight="1" x14ac:dyDescent="0.25">
      <c r="A9" s="8" t="s">
        <v>54</v>
      </c>
      <c r="B9" s="6" t="s">
        <v>55</v>
      </c>
      <c r="C9" s="8" t="s">
        <v>166</v>
      </c>
      <c r="D9" s="8" t="s">
        <v>172</v>
      </c>
      <c r="E9" s="8" t="s">
        <v>54</v>
      </c>
      <c r="F9" s="8" t="s">
        <v>552</v>
      </c>
      <c r="G9" s="6" t="s">
        <v>28</v>
      </c>
    </row>
    <row r="10" spans="1:7" ht="30" customHeight="1" x14ac:dyDescent="0.25">
      <c r="A10" s="8" t="s">
        <v>59</v>
      </c>
      <c r="B10" s="6" t="s">
        <v>60</v>
      </c>
      <c r="C10" s="8" t="s">
        <v>166</v>
      </c>
      <c r="D10" s="8" t="s">
        <v>173</v>
      </c>
      <c r="E10" s="8" t="s">
        <v>59</v>
      </c>
      <c r="F10" s="8" t="s">
        <v>551</v>
      </c>
      <c r="G10" s="6" t="s">
        <v>28</v>
      </c>
    </row>
    <row r="11" spans="1:7" ht="30" customHeight="1" x14ac:dyDescent="0.25">
      <c r="A11" s="8" t="s">
        <v>50</v>
      </c>
      <c r="B11" s="6" t="s">
        <v>27</v>
      </c>
      <c r="C11" s="8" t="s">
        <v>166</v>
      </c>
      <c r="D11" s="8" t="s">
        <v>174</v>
      </c>
      <c r="E11" s="8" t="s">
        <v>50</v>
      </c>
      <c r="F11" s="8" t="s">
        <v>551</v>
      </c>
      <c r="G11" s="6" t="s">
        <v>23</v>
      </c>
    </row>
    <row r="12" spans="1:7" ht="30" customHeight="1" x14ac:dyDescent="0.25">
      <c r="A12" s="8" t="s">
        <v>64</v>
      </c>
      <c r="B12" s="6" t="s">
        <v>65</v>
      </c>
      <c r="C12" s="8" t="s">
        <v>166</v>
      </c>
      <c r="D12" s="8" t="s">
        <v>175</v>
      </c>
      <c r="E12" s="8" t="s">
        <v>64</v>
      </c>
      <c r="F12" s="8" t="s">
        <v>551</v>
      </c>
      <c r="G12" s="6" t="s">
        <v>28</v>
      </c>
    </row>
    <row r="13" spans="1:7" ht="30" customHeight="1" x14ac:dyDescent="0.25">
      <c r="A13" s="8" t="s">
        <v>86</v>
      </c>
      <c r="B13" s="6" t="s">
        <v>55</v>
      </c>
      <c r="C13" s="8" t="s">
        <v>166</v>
      </c>
      <c r="D13" s="8" t="s">
        <v>176</v>
      </c>
      <c r="E13" s="8" t="s">
        <v>86</v>
      </c>
      <c r="F13" s="8" t="s">
        <v>552</v>
      </c>
      <c r="G13" s="6" t="s">
        <v>28</v>
      </c>
    </row>
    <row r="14" spans="1:7" ht="30" customHeight="1" x14ac:dyDescent="0.25">
      <c r="A14" s="8" t="s">
        <v>89</v>
      </c>
      <c r="B14" s="6" t="s">
        <v>55</v>
      </c>
      <c r="C14" s="8" t="s">
        <v>166</v>
      </c>
      <c r="D14" s="8" t="s">
        <v>177</v>
      </c>
      <c r="E14" s="8" t="s">
        <v>89</v>
      </c>
      <c r="F14" s="8" t="s">
        <v>552</v>
      </c>
      <c r="G14" s="6" t="s">
        <v>28</v>
      </c>
    </row>
    <row r="15" spans="1:7" ht="30" customHeight="1" x14ac:dyDescent="0.25">
      <c r="A15" s="8" t="s">
        <v>69</v>
      </c>
      <c r="B15" s="6" t="s">
        <v>70</v>
      </c>
      <c r="C15" s="8" t="s">
        <v>166</v>
      </c>
      <c r="D15" s="8" t="s">
        <v>178</v>
      </c>
      <c r="E15" s="8" t="s">
        <v>69</v>
      </c>
      <c r="F15" s="8" t="s">
        <v>551</v>
      </c>
      <c r="G15" s="6" t="s">
        <v>28</v>
      </c>
    </row>
    <row r="16" spans="1:7" ht="30" customHeight="1" x14ac:dyDescent="0.25">
      <c r="A16" s="8" t="s">
        <v>74</v>
      </c>
      <c r="B16" s="6" t="s">
        <v>75</v>
      </c>
      <c r="C16" s="8" t="s">
        <v>166</v>
      </c>
      <c r="D16" s="8" t="s">
        <v>179</v>
      </c>
      <c r="E16" s="8" t="s">
        <v>74</v>
      </c>
      <c r="F16" s="8" t="s">
        <v>551</v>
      </c>
      <c r="G16" s="6" t="s">
        <v>28</v>
      </c>
    </row>
    <row r="17" spans="1:7" ht="30" customHeight="1" x14ac:dyDescent="0.25">
      <c r="A17" s="8" t="s">
        <v>79</v>
      </c>
      <c r="B17" s="6" t="s">
        <v>42</v>
      </c>
      <c r="C17" s="8" t="s">
        <v>166</v>
      </c>
      <c r="D17" s="8" t="s">
        <v>180</v>
      </c>
      <c r="E17" s="8" t="s">
        <v>79</v>
      </c>
      <c r="F17" s="8" t="s">
        <v>551</v>
      </c>
      <c r="G17" s="6" t="s">
        <v>28</v>
      </c>
    </row>
    <row r="18" spans="1:7" ht="30" customHeight="1" x14ac:dyDescent="0.25">
      <c r="A18" s="8" t="s">
        <v>83</v>
      </c>
      <c r="B18" s="6" t="s">
        <v>27</v>
      </c>
      <c r="C18" s="8" t="s">
        <v>166</v>
      </c>
      <c r="D18" s="8" t="s">
        <v>181</v>
      </c>
      <c r="E18" s="8" t="s">
        <v>83</v>
      </c>
      <c r="F18" s="8" t="s">
        <v>551</v>
      </c>
      <c r="G18" s="6" t="s">
        <v>28</v>
      </c>
    </row>
    <row r="19" spans="1:7" ht="30" customHeight="1" x14ac:dyDescent="0.25">
      <c r="A19" s="8" t="s">
        <v>182</v>
      </c>
      <c r="B19" s="6" t="s">
        <v>209</v>
      </c>
      <c r="C19" s="8" t="s">
        <v>166</v>
      </c>
      <c r="D19" s="8" t="s">
        <v>183</v>
      </c>
      <c r="E19" s="8" t="s">
        <v>182</v>
      </c>
      <c r="F19" s="8" t="s">
        <v>552</v>
      </c>
      <c r="G19" s="6" t="s">
        <v>28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9"/>
  <sheetViews>
    <sheetView topLeftCell="A3" workbookViewId="0">
      <selection activeCell="E3" sqref="E1:E1048576"/>
    </sheetView>
  </sheetViews>
  <sheetFormatPr defaultRowHeight="15" x14ac:dyDescent="0.25"/>
  <cols>
    <col min="1" max="2" width="30" customWidth="1"/>
    <col min="3" max="4" width="12" customWidth="1"/>
  </cols>
  <sheetData>
    <row r="1" spans="1:4" ht="16.5" x14ac:dyDescent="0.25">
      <c r="A1" s="1" t="s">
        <v>555</v>
      </c>
    </row>
    <row r="3" spans="1:4" ht="30" customHeight="1" x14ac:dyDescent="0.25">
      <c r="A3" s="4" t="s">
        <v>163</v>
      </c>
      <c r="B3" s="4" t="s">
        <v>556</v>
      </c>
      <c r="C3" s="4" t="s">
        <v>557</v>
      </c>
      <c r="D3" s="4" t="s">
        <v>558</v>
      </c>
    </row>
    <row r="4" spans="1:4" ht="18" customHeight="1" x14ac:dyDescent="0.25">
      <c r="A4" s="8" t="s">
        <v>559</v>
      </c>
      <c r="B4" s="7" t="s">
        <v>560</v>
      </c>
      <c r="C4" s="7" t="s">
        <v>560</v>
      </c>
      <c r="D4" s="12" t="s">
        <v>553</v>
      </c>
    </row>
    <row r="5" spans="1:4" ht="18" customHeight="1" x14ac:dyDescent="0.25">
      <c r="A5" s="8" t="s">
        <v>561</v>
      </c>
      <c r="B5" s="12" t="s">
        <v>553</v>
      </c>
      <c r="C5" s="12" t="s">
        <v>553</v>
      </c>
      <c r="D5" s="11" t="s">
        <v>554</v>
      </c>
    </row>
    <row r="6" spans="1:4" ht="18" customHeight="1" x14ac:dyDescent="0.25">
      <c r="A6" s="8" t="s">
        <v>562</v>
      </c>
      <c r="B6" s="12" t="s">
        <v>553</v>
      </c>
      <c r="C6" s="12" t="s">
        <v>553</v>
      </c>
      <c r="D6" s="11" t="s">
        <v>554</v>
      </c>
    </row>
    <row r="7" spans="1:4" ht="18" customHeight="1" x14ac:dyDescent="0.25">
      <c r="A7" s="8" t="s">
        <v>563</v>
      </c>
      <c r="B7" s="12" t="s">
        <v>553</v>
      </c>
      <c r="C7" s="12" t="s">
        <v>553</v>
      </c>
      <c r="D7" s="11" t="s">
        <v>554</v>
      </c>
    </row>
    <row r="8" spans="1:4" ht="18" customHeight="1" x14ac:dyDescent="0.25">
      <c r="A8" s="8" t="s">
        <v>564</v>
      </c>
      <c r="B8" s="12" t="s">
        <v>553</v>
      </c>
      <c r="C8" s="12" t="s">
        <v>553</v>
      </c>
      <c r="D8" s="11" t="s">
        <v>554</v>
      </c>
    </row>
    <row r="9" spans="1:4" ht="18" customHeight="1" x14ac:dyDescent="0.25">
      <c r="A9" s="8" t="s">
        <v>565</v>
      </c>
      <c r="B9" s="12" t="s">
        <v>553</v>
      </c>
      <c r="C9" s="12" t="s">
        <v>553</v>
      </c>
      <c r="D9" s="11" t="s">
        <v>554</v>
      </c>
    </row>
    <row r="10" spans="1:4" ht="18" customHeight="1" x14ac:dyDescent="0.25">
      <c r="A10" s="8" t="s">
        <v>566</v>
      </c>
      <c r="B10" s="12" t="s">
        <v>553</v>
      </c>
      <c r="C10" s="12" t="s">
        <v>553</v>
      </c>
      <c r="D10" s="11" t="s">
        <v>554</v>
      </c>
    </row>
    <row r="11" spans="1:4" ht="18" customHeight="1" x14ac:dyDescent="0.25">
      <c r="A11" s="8" t="s">
        <v>567</v>
      </c>
      <c r="B11" s="12" t="s">
        <v>553</v>
      </c>
      <c r="C11" s="12" t="s">
        <v>553</v>
      </c>
      <c r="D11" s="11" t="s">
        <v>554</v>
      </c>
    </row>
    <row r="12" spans="1:4" ht="18" customHeight="1" x14ac:dyDescent="0.25">
      <c r="A12" s="8" t="s">
        <v>568</v>
      </c>
      <c r="B12" s="12" t="s">
        <v>553</v>
      </c>
      <c r="C12" s="12" t="s">
        <v>553</v>
      </c>
      <c r="D12" s="11" t="s">
        <v>554</v>
      </c>
    </row>
    <row r="13" spans="1:4" ht="18" customHeight="1" x14ac:dyDescent="0.25">
      <c r="A13" s="8" t="s">
        <v>569</v>
      </c>
      <c r="B13" s="12" t="s">
        <v>553</v>
      </c>
      <c r="C13" s="12" t="s">
        <v>553</v>
      </c>
      <c r="D13" s="11" t="s">
        <v>554</v>
      </c>
    </row>
    <row r="14" spans="1:4" ht="18" customHeight="1" x14ac:dyDescent="0.25">
      <c r="A14" s="8" t="s">
        <v>570</v>
      </c>
      <c r="B14" s="12" t="s">
        <v>553</v>
      </c>
      <c r="C14" s="11" t="s">
        <v>554</v>
      </c>
      <c r="D14" s="11" t="s">
        <v>554</v>
      </c>
    </row>
    <row r="15" spans="1:4" ht="18" customHeight="1" x14ac:dyDescent="0.25">
      <c r="A15" s="8" t="s">
        <v>571</v>
      </c>
      <c r="B15" s="12" t="s">
        <v>553</v>
      </c>
      <c r="C15" s="11" t="s">
        <v>554</v>
      </c>
      <c r="D15" s="11" t="s">
        <v>554</v>
      </c>
    </row>
    <row r="16" spans="1:4" ht="18" customHeight="1" x14ac:dyDescent="0.25">
      <c r="A16" s="8" t="s">
        <v>572</v>
      </c>
      <c r="B16" s="12" t="s">
        <v>553</v>
      </c>
      <c r="C16" s="11" t="s">
        <v>554</v>
      </c>
      <c r="D16" s="11" t="s">
        <v>554</v>
      </c>
    </row>
    <row r="17" spans="1:4" ht="18" customHeight="1" x14ac:dyDescent="0.25">
      <c r="A17" s="8" t="s">
        <v>573</v>
      </c>
      <c r="B17" s="12" t="s">
        <v>553</v>
      </c>
      <c r="C17" s="11" t="s">
        <v>554</v>
      </c>
      <c r="D17" s="11" t="s">
        <v>554</v>
      </c>
    </row>
    <row r="18" spans="1:4" ht="18" customHeight="1" x14ac:dyDescent="0.25">
      <c r="A18" s="8" t="s">
        <v>574</v>
      </c>
      <c r="B18" s="11" t="s">
        <v>554</v>
      </c>
      <c r="C18" s="11" t="s">
        <v>554</v>
      </c>
      <c r="D18" s="11" t="s">
        <v>554</v>
      </c>
    </row>
    <row r="19" spans="1:4" ht="18" customHeight="1" x14ac:dyDescent="0.25">
      <c r="A19" s="8" t="s">
        <v>575</v>
      </c>
      <c r="B19" s="11" t="s">
        <v>554</v>
      </c>
      <c r="C19" s="11" t="s">
        <v>554</v>
      </c>
      <c r="D19" s="11" t="s">
        <v>554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Associazioni</vt:lpstr>
      <vt:lpstr>Scheda dettaglio</vt:lpstr>
      <vt:lpstr>Badge</vt:lpstr>
      <vt:lpstr>Scomposizione formula</vt:lpstr>
      <vt:lpstr>Chiamate scomposizione</vt:lpstr>
      <vt:lpstr>Parametri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2026-09-23T12:54:03Z</dcterms:created>
  <dcterms:modified xsi:type="dcterms:W3CDTF">2026-10-08T13:14:10Z</dcterms:modified>
</cp:coreProperties>
</file>