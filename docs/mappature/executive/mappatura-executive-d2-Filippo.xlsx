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ristian\Desktop\PERFEXIA\GRU\CRUSCOTTO\CHIAMATE\EXECUTIVE\revisionate\"/>
    </mc:Choice>
  </mc:AlternateContent>
  <xr:revisionPtr revIDLastSave="0" documentId="13_ncr:1_{C6188637-889C-45B8-A89B-313EFB4D5A6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ssociazioni" sheetId="1" r:id="rId1"/>
    <sheet name="Scheda dettaglio" sheetId="2" r:id="rId2"/>
    <sheet name="Badge" sheetId="3" r:id="rId3"/>
    <sheet name="Scomposizione formula" sheetId="5" r:id="rId4"/>
    <sheet name="Chiamate scomposizione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5" i="5" l="1"/>
  <c r="D54" i="5"/>
  <c r="D53" i="5"/>
  <c r="D52" i="5"/>
  <c r="D56" i="5" s="1"/>
  <c r="D57" i="5" s="1"/>
  <c r="H48" i="5"/>
  <c r="G57" i="5" s="1"/>
  <c r="H36" i="5"/>
  <c r="G42" i="5" s="1"/>
  <c r="H25" i="5"/>
  <c r="D32" i="5" s="1"/>
  <c r="H14" i="5"/>
  <c r="D21" i="5" s="1"/>
  <c r="H3" i="5"/>
  <c r="D10" i="5" s="1"/>
  <c r="G5" i="5" l="1"/>
  <c r="D37" i="5"/>
  <c r="G38" i="5"/>
  <c r="D43" i="5"/>
  <c r="C46" i="5" s="1"/>
  <c r="D26" i="5"/>
  <c r="D15" i="5"/>
  <c r="G27" i="5"/>
  <c r="D4" i="5"/>
  <c r="G16" i="5"/>
  <c r="C50" i="5"/>
  <c r="D51" i="5"/>
  <c r="G4" i="5"/>
  <c r="C6" i="5"/>
  <c r="G8" i="5"/>
  <c r="G15" i="5"/>
  <c r="C17" i="5"/>
  <c r="G19" i="5"/>
  <c r="G26" i="5"/>
  <c r="C28" i="5"/>
  <c r="G30" i="5"/>
  <c r="G37" i="5"/>
  <c r="C39" i="5"/>
  <c r="D41" i="5"/>
  <c r="D44" i="5"/>
  <c r="C49" i="5"/>
  <c r="D50" i="5"/>
  <c r="G51" i="5"/>
  <c r="D58" i="5"/>
  <c r="C16" i="5"/>
  <c r="D17" i="5"/>
  <c r="D20" i="5"/>
  <c r="C38" i="5"/>
  <c r="D39" i="5"/>
  <c r="D49" i="5"/>
  <c r="G50" i="5"/>
  <c r="D59" i="5"/>
  <c r="C5" i="5"/>
  <c r="D6" i="5"/>
  <c r="D9" i="5"/>
  <c r="C27" i="5"/>
  <c r="D28" i="5"/>
  <c r="D31" i="5"/>
  <c r="C4" i="5"/>
  <c r="D5" i="5"/>
  <c r="G6" i="5"/>
  <c r="C15" i="5"/>
  <c r="D16" i="5"/>
  <c r="G17" i="5"/>
  <c r="C26" i="5"/>
  <c r="D27" i="5"/>
  <c r="G28" i="5"/>
  <c r="C37" i="5"/>
  <c r="D38" i="5"/>
  <c r="G39" i="5"/>
  <c r="G49" i="5"/>
  <c r="C51" i="5"/>
  <c r="D40" i="5" l="1"/>
  <c r="D42" i="5" s="1"/>
  <c r="D45" i="5" s="1"/>
  <c r="D30" i="5"/>
  <c r="D33" i="5" s="1"/>
  <c r="C34" i="5"/>
  <c r="D8" i="5"/>
  <c r="D11" i="5" s="1"/>
  <c r="D19" i="5"/>
  <c r="D22" i="5" s="1"/>
  <c r="C12" i="5"/>
  <c r="C23" i="5"/>
  <c r="C61" i="5"/>
  <c r="D60" i="5"/>
</calcChain>
</file>

<file path=xl/sharedStrings.xml><?xml version="1.0" encoding="utf-8"?>
<sst xmlns="http://schemas.openxmlformats.org/spreadsheetml/2006/main" count="588" uniqueCount="306">
  <si>
    <t>Vista Executive — D2 Programmazione del fabbisogno — componenti / chiamate RPC</t>
  </si>
  <si>
    <t>#</t>
  </si>
  <si>
    <t>Componente</t>
  </si>
  <si>
    <t>Elemento a schermo (valori mockup)</t>
  </si>
  <si>
    <t>Chiamata</t>
  </si>
  <si>
    <t>Campi usati</t>
  </si>
  <si>
    <t>Famiglia di scala</t>
  </si>
  <si>
    <t>Note</t>
  </si>
  <si>
    <t>F</t>
  </si>
  <si>
    <t>Barra dei filtri: Istituzione · Comparto · Regione</t>
  </si>
  <si>
    <t>assente nel mockup</t>
  </si>
  <si>
    <t>DA AGGIUNGERE</t>
  </si>
  <si>
    <t>GET /rest/v1/mv_filtri?select=chiave,codice,descrizione&amp;tipo=eq.&lt;ente|comparto|regione&gt;&amp;anno=eq.&lt;anno&gt;&amp;order=ordine,descrizione</t>
  </si>
  <si>
    <t>chiave, codice, descrizione → codice scelto in p_istituzione, p_comparto, p_regione di fa_ca_exec_d2_indicatori_score</t>
  </si>
  <si>
    <t>—</t>
  </si>
  <si>
    <t>0</t>
  </si>
  <si>
    <t>Intestazione pillar</t>
  </si>
  <si>
    <t>D2 · Programmazione fabbisogno · sottotitolo descrittivo</t>
  </si>
  <si>
    <t>statico</t>
  </si>
  <si>
    <t>1</t>
  </si>
  <si>
    <t>Panoramica indicatori · D2 (barre orizzontali)</t>
  </si>
  <si>
    <t>5 barre: IGF, IRS, IDP_Norm, PTI, IRG_Norm su scala 0-100%</t>
  </si>
  <si>
    <t>fa_ca_exec_d2_indicatori (batch, senza p_codici)</t>
  </si>
  <si>
    <t>id, valore</t>
  </si>
  <si>
    <t>2</t>
  </si>
  <si>
    <t>Card IGF</t>
  </si>
  <si>
    <t>IGF · Governo strategico del fabbisogno (Executive) · 46% · +4.0pp</t>
  </si>
  <si>
    <t>fa_ca_exec_d2_indicatori (stessa risposta)</t>
  </si>
  <si>
    <t>id, nome, valore</t>
  </si>
  <si>
    <t>Composito orientato</t>
  </si>
  <si>
    <t>3</t>
  </si>
  <si>
    <t>Card IRS</t>
  </si>
  <si>
    <t>IRS · Indice di replica strutturale · 80% · +5.0pp</t>
  </si>
  <si>
    <t>Diretto [0;1]</t>
  </si>
  <si>
    <t>4</t>
  </si>
  <si>
    <t>Card IDP_Norm</t>
  </si>
  <si>
    <t>IDP_Norm · Indice di direzione della progressività · 45% · +5.0pp</t>
  </si>
  <si>
    <t>Diretto centrato</t>
  </si>
  <si>
    <t>5</t>
  </si>
  <si>
    <t>Card PTI</t>
  </si>
  <si>
    <t>PTI · Peso del tempo indeterminato sul reclutamento · 67% · +4.0pp</t>
  </si>
  <si>
    <t>6</t>
  </si>
  <si>
    <t>Card IRG_Norm</t>
  </si>
  <si>
    <t>IRG_Norm · Indice di ricambio generazionale · 9% · +2.0pp</t>
  </si>
  <si>
    <t>Target sul valore grezzo</t>
  </si>
  <si>
    <t>7</t>
  </si>
  <si>
    <t>Tacca verticale su ogni barra delle card</t>
  </si>
  <si>
    <t>Segno nero in una posizione diversa per ogni indice</t>
  </si>
  <si>
    <t>nessuna</t>
  </si>
  <si>
    <t>8</t>
  </si>
  <si>
    <t>Freccia → sulla card (dettaglio indice)</t>
  </si>
  <si>
    <t>Navigazione verso la scheda del singolo indice</t>
  </si>
  <si>
    <t>fa_ca_exec_d2_&lt;indice&gt; (funzione singola)</t>
  </si>
  <si>
    <t>formula, interpretazione, componente_1/2, valore_1/2, anno_1/2, formula_con_numeri, interconnessioni, dettagli</t>
  </si>
  <si>
    <t>9</t>
  </si>
  <si>
    <t>Pulsante Quadro Sinottico</t>
  </si>
  <si>
    <t>Link in alto a destra</t>
  </si>
  <si>
    <t>Scheda di dettaglio indice — D2: elementi a schermo, chiamata e campi della risposta</t>
  </si>
  <si>
    <t>Elemento a schermo</t>
  </si>
  <si>
    <t>Esempio nel mockup</t>
  </si>
  <si>
    <t>Campo della risposta</t>
  </si>
  <si>
    <t>GET /rest/v1/mv_filtri — una chiamata per menu a tendina:
?select=chiave,codice,descrizione&amp;tipo=eq.ente&amp;anno=eq.&lt;anno&gt;&amp;order=ordine,descrizione
?select=chiave,codice,descrizione&amp;tipo=eq.comparto&amp;anno=eq.&lt;anno&gt;&amp;order=ordine,descrizione
?select=chiave,codice,descrizione&amp;tipo=eq.regione&amp;anno=eq.&lt;anno&gt;&amp;order=ordine,descrizione</t>
  </si>
  <si>
    <t>chiave, codice, descrizione di mv_filtri → il codice scelto va in p_istituzione, p_comparto, p_regione delle chiamate _score</t>
  </si>
  <si>
    <t>Codice e badge del pillar</t>
  </si>
  <si>
    <t>IGF · D2</t>
  </si>
  <si>
    <t>POST fa_ca_exec_d2_indicatori_score
{"p_anno": …, istituzione/comparto/regione, "p_codici": ["&lt;indice&gt;"]}</t>
  </si>
  <si>
    <t>id (parte dopo il punto e prefisso)</t>
  </si>
  <si>
    <t>Nome su due righe</t>
  </si>
  <si>
    <t>Indice di governo strategico del fabbisogno</t>
  </si>
  <si>
    <t>nome</t>
  </si>
  <si>
    <t>Riga 'Fonte: ... · ...'</t>
  </si>
  <si>
    <t>Fonte: Conto Annuale · Dotazione organica</t>
  </si>
  <si>
    <t>Nessuna: testo statico nel frontend.</t>
  </si>
  <si>
    <t>nessuno</t>
  </si>
  <si>
    <t>Numero grande e gauge 'Score [0-1]'</t>
  </si>
  <si>
    <t>0,46</t>
  </si>
  <si>
    <t>POST fa_ca_exec_d2_indicatori_score
{"p_anno": …, istituzione/comparto/regione, "p_codici": ["&lt;indice&gt;"]}
Per i compositi: {"p_anno": …, istituzione/comparto/regione, "p_codici": ["&lt;indice&gt;", "&lt;componenti&gt;"]}</t>
  </si>
  <si>
    <t>score / 100</t>
  </si>
  <si>
    <t>Riquadro formula con normalizzazione</t>
  </si>
  <si>
    <t>IGF = ((IRS + IDP_Norm)/2 + PTI + IRG_Norm) / 3 · Dominio [0;1]</t>
  </si>
  <si>
    <t>formula + testo di normalizzazione + '→ codice (score / 100)'</t>
  </si>
  <si>
    <t>Scomposizione — Parte 1: calcolo dell'indice</t>
  </si>
  <si>
    <t>Personale in servizio 191.410 ...</t>
  </si>
  <si>
    <t>componente_1 / valore_1, componente_2 / valore_2, formula_con_numeri</t>
  </si>
  <si>
    <t>Scomposizione — Parte 2: normalizzazione dello score</t>
  </si>
  <si>
    <t>non presente nel mockup</t>
  </si>
  <si>
    <t>POST fa_ca_exec_d2_indicatori_score
{"p_anno": …, istituzione/comparto/regione, "p_codici": ["&lt;indice&gt;"]}
Per i compositi: {"p_anno": …, istituzione/comparto/regione, "p_codici": ["&lt;indice&gt;", "&lt;componenti&gt;"]}
Passaggi calcolati nel frontend sui campi della stessa risposta.</t>
  </si>
  <si>
    <t>soglia_score, unita_soglia, score dei componenti, score</t>
  </si>
  <si>
    <t>Riquadro Contesto</t>
  </si>
  <si>
    <t>Media ponderata di 4 sotto-indicatori su 30 enti...</t>
  </si>
  <si>
    <t>Nessuna: elemento da eliminare.</t>
  </si>
  <si>
    <t>Barre dei componenti (solo compositi)</t>
  </si>
  <si>
    <t>IRS 0,80 · IDP_Norm 0,45 · PTI 0,67 · IRG_Norm 0,09</t>
  </si>
  <si>
    <t>POST fa_ca_exec_d2_indicatori_score
{"p_anno": …, istituzione/comparto/regione, "p_codici": ["&lt;indice&gt;", "&lt;componenti&gt;"]}
I componenti vanno inclusi in p_codici: le barre leggono le loro righe.</t>
  </si>
  <si>
    <t>score / 100 dei componenti, dal batch _score</t>
  </si>
  <si>
    <t>Badge di giudizio e frase</t>
  </si>
  <si>
    <t>Critico · Moderato · Buono · Eccellente · Basso · Stabile ...</t>
  </si>
  <si>
    <t>badge (frase: non restituita)</t>
  </si>
  <si>
    <t>Scheda metodologica (espandibile)</t>
  </si>
  <si>
    <t>Schede Definizione · Calcolo · Lettura · Note. IDC (D5): Definizione 'Misura la capacità dell'Ente di attivare e governare percorsi di crescita...'; Calcolo 'IDC = (DPI_Norm + ICS_Norm) / 2 · Dominio [0; 1) · Componenti ...'; Lettura 'IDC → 0 ... IDC ≈ 0,5 ... IDC → 1 ...'</t>
  </si>
  <si>
    <t>descrizione (Definizione) · formula e dominio (Calcolo) · interpretazione (Lettura) · Note: nessun campo</t>
  </si>
  <si>
    <t>Chip Interconnessioni</t>
  </si>
  <si>
    <t>D1 · D3 · D6</t>
  </si>
  <si>
    <t>interconnessioni</t>
  </si>
  <si>
    <t>Testo sotto i chip</t>
  </si>
  <si>
    <t>Indicatore composito che collega...</t>
  </si>
  <si>
    <t>Link 'Dettaglio Dx'</t>
  </si>
  <si>
    <t>→ Dettaglio D2</t>
  </si>
  <si>
    <t>Nessuna: navigazione. La panoramica usa POST fa_ca_exec_d2_indicatori_score senza p_codici.</t>
  </si>
  <si>
    <t>navigazione</t>
  </si>
  <si>
    <t>Variazione rispetto all'anno precedente</t>
  </si>
  <si>
    <t>var_score / var_anno_prec</t>
  </si>
  <si>
    <t>Trend storico dell'indice</t>
  </si>
  <si>
    <t>riquadro 'TREND STORICO · IDC' sotto la scheda metodologica, asse 0-100%</t>
  </si>
  <si>
    <t>Ciclo nel frontend:
1) anni da GET /rest/v1/mv_filtri?select=anno,codice,descrizione&amp;tipo=eq.anno&amp;order=ordine
2) per ogni anno POST fa_ca_exec_d2_indicatori_score?select=anno,id,valore,unita,score,var_score,badge
{"p_anno": &lt;anno&gt;, filtri invariati, "p_codici": ["&lt;indice&gt;"]}
3) ordinare per anno</t>
  </si>
  <si>
    <t>anno, score (asse principale); valore e unita nel tooltip; var_score per la direzione</t>
  </si>
  <si>
    <t>Chiamata per indice</t>
  </si>
  <si>
    <t>Indice</t>
  </si>
  <si>
    <t>Funzione</t>
  </si>
  <si>
    <t>Corpo della chiamata (POST)</t>
  </si>
  <si>
    <t>Righe usate</t>
  </si>
  <si>
    <t>D2.IRS</t>
  </si>
  <si>
    <t>fa_ca_exec_d2_indicatori_score</t>
  </si>
  <si>
    <t>{"p_anno": 2024, "p_istituzione": "C6144", "p_codici": ["IRS"]}</t>
  </si>
  <si>
    <t>D2.IDP_Norm</t>
  </si>
  <si>
    <t>{"p_anno": 2024, "p_istituzione": "C6144", "p_codici": ["IDP_Norm"]}</t>
  </si>
  <si>
    <t>D2.PTI</t>
  </si>
  <si>
    <t>{"p_anno": 2024, "p_istituzione": "C6144", "p_codici": ["PTI"]}</t>
  </si>
  <si>
    <t>D2.IRG_Norm</t>
  </si>
  <si>
    <t>{"p_anno": 2024, "p_istituzione": "C6144", "p_codici": ["IRG_Norm"]}</t>
  </si>
  <si>
    <t>D2.IGF</t>
  </si>
  <si>
    <t>{"p_anno": 2024, "p_istituzione": "C6144", "p_codici": ["IGF", "IRS", "IDP_Norm", "PTI", "IRG_Norm"]}</t>
  </si>
  <si>
    <t>D2.IGF, D2.IRS, D2.IDP_Norm, D2.PTI, D2.IRG_Norm</t>
  </si>
  <si>
    <t>Filtri della vista: p_istituzione, p_comparto, p_regione a selezione singola, omessi se vuoti. Genere e macro/categoria non sono esposti, quindi ogni indice resta richiedibile.</t>
  </si>
  <si>
    <t>Critico</t>
  </si>
  <si>
    <t>Buono</t>
  </si>
  <si>
    <t>Moderato</t>
  </si>
  <si>
    <t>D2 — badge restituiti dall'API e confronto con le schermate</t>
  </si>
  <si>
    <t>Badge</t>
  </si>
  <si>
    <t>Score da</t>
  </si>
  <si>
    <t>Score fino a (escluso)</t>
  </si>
  <si>
    <t>Campo</t>
  </si>
  <si>
    <t>Basso</t>
  </si>
  <si>
    <t>badge (colonna 28)</t>
  </si>
  <si>
    <t>Eccellente</t>
  </si>
  <si>
    <t>Valore (API)</t>
  </si>
  <si>
    <t>D2 — ricostruzione della formula dai risultati della chiamata API</t>
  </si>
  <si>
    <t>Parte</t>
  </si>
  <si>
    <t>Riga a video</t>
  </si>
  <si>
    <t>Campo / calcolo</t>
  </si>
  <si>
    <t>Valore nel mockup</t>
  </si>
  <si>
    <t>riga API</t>
  </si>
  <si>
    <t>Tipo</t>
  </si>
  <si>
    <t>Chiamata · riga · campo</t>
  </si>
  <si>
    <t>Espressione nel frontend (scomposizione-executive.ts)</t>
  </si>
  <si>
    <t>IRS  ·  Diretto [0;1]</t>
  </si>
  <si>
    <t>riga nella risposta →</t>
  </si>
  <si>
    <t>fa_ca_exec_d2_indicatori_score  {"p_anno": …, filtri…, "p_codici": ["IRS"]}</t>
  </si>
  <si>
    <t>1 · Calcolo indice</t>
  </si>
  <si>
    <t>componente_1 · valore_1</t>
  </si>
  <si>
    <t>Personale in servizio 191.410</t>
  </si>
  <si>
    <t>Lettura</t>
  </si>
  <si>
    <t>riga D2.IRS · valore_1 (etichetta: componente_1)</t>
  </si>
  <si>
    <t>r.valore_1</t>
  </si>
  <si>
    <t>componente_2 · valore_2</t>
  </si>
  <si>
    <t>Dotazione organica prevista 574.227</t>
  </si>
  <si>
    <t>riga D2.IRS · valore_2 (etichetta: componente_2)</t>
  </si>
  <si>
    <t>r.valore_2</t>
  </si>
  <si>
    <t>formula · valore</t>
  </si>
  <si>
    <t>Media ponderata per ente = 0,80</t>
  </si>
  <si>
    <t>riga D2.IRS · valore (etichetta: formula; nota: formula_con_numeri)</t>
  </si>
  <si>
    <t>r.valore</t>
  </si>
  <si>
    <t>2 · Normalizzazione</t>
  </si>
  <si>
    <t>Non necessaria: score IRS = valore</t>
  </si>
  <si>
    <t>da aggiungere</t>
  </si>
  <si>
    <t>nessuna riga: score = valore</t>
  </si>
  <si>
    <t>Score IRS ricostruito</t>
  </si>
  <si>
    <t>calcolo dalle righe sopra</t>
  </si>
  <si>
    <t>— controllo interno, non a video</t>
  </si>
  <si>
    <t>Calcolo frontend</t>
  </si>
  <si>
    <t>passi della Parte 2</t>
  </si>
  <si>
    <t>scoreDaUtilita(u) // max(1, round(100·u)) / 100</t>
  </si>
  <si>
    <t>Numero grande</t>
  </si>
  <si>
    <t>Score IRS restituito dall'API</t>
  </si>
  <si>
    <t>0,80  (oggi è il valore, non lo score)</t>
  </si>
  <si>
    <t>È il valore del numero grande e della vista executive.</t>
  </si>
  <si>
    <t>riga D2.IRS · score / 100</t>
  </si>
  <si>
    <t>r.score / 100   // NUMERO GRANDE e vista executive</t>
  </si>
  <si>
    <t>Badge IRS restituito dall'API</t>
  </si>
  <si>
    <t>badge</t>
  </si>
  <si>
    <t>Da lk_intervalli_badge sullo score: Basso &lt;25, Moderato &lt;50, Buono &lt;75, Eccellente.</t>
  </si>
  <si>
    <t>riga D2.IRS · badge</t>
  </si>
  <si>
    <t>r.badge   // Basso · Moderato · Buono · Eccellente</t>
  </si>
  <si>
    <t>Verifica</t>
  </si>
  <si>
    <t>Ricostruzione = API?</t>
  </si>
  <si>
    <t>Atteso OK.</t>
  </si>
  <si>
    <t>confronto delle due righe precedenti</t>
  </si>
  <si>
    <t>Math.abs(scoreRicostruito - scoreApi) &lt; 0.005</t>
  </si>
  <si>
    <t>Riquadro formula</t>
  </si>
  <si>
    <t>IRS = Personale in servizio / Dotazione organica · [0;1]</t>
  </si>
  <si>
    <t>riga D2.IRS · formula, unita_soglia, score</t>
  </si>
  <si>
    <t>testoRiquadro</t>
  </si>
  <si>
    <t>IDP_Norm  ·  Diretto centrato</t>
  </si>
  <si>
    <t>fa_ca_exec_d2_indicatori_score  {"p_anno": …, filtri…, "p_codici": ["IDP_Norm"]}</t>
  </si>
  <si>
    <t>Assunti anno 2023 3542</t>
  </si>
  <si>
    <t>riga D2.IDP_Norm · valore_1 (etichetta: componente_1)</t>
  </si>
  <si>
    <t>Cessati anno 2023 7655</t>
  </si>
  <si>
    <t>riga D2.IDP_Norm · valore_2 (etichetta: componente_2)</t>
  </si>
  <si>
    <t>(3.542 − 7.655) / 7.655 = −53,7% → norm. 0,45</t>
  </si>
  <si>
    <t>riga D2.IDP_Norm · valore (etichetta: formula; nota: formula_con_numeri)</t>
  </si>
  <si>
    <t>Non necessaria: score IDP_Norm = valore</t>
  </si>
  <si>
    <t>Score IDP_Norm ricostruito</t>
  </si>
  <si>
    <t>Score IDP_Norm restituito dall'API</t>
  </si>
  <si>
    <t>0,45  (oggi è il valore, non lo score)</t>
  </si>
  <si>
    <t>riga D2.IDP_Norm · score / 100</t>
  </si>
  <si>
    <t>Badge IDP_Norm restituito dall'API</t>
  </si>
  <si>
    <t>riga D2.IDP_Norm · badge</t>
  </si>
  <si>
    <t>IDP = (Assunti − Cessati) / Cessati · normalizzato [0;1]</t>
  </si>
  <si>
    <t>riga D2.IDP_Norm · formula, unita_soglia, score</t>
  </si>
  <si>
    <t>PTI  ·  Diretto [0;1]</t>
  </si>
  <si>
    <t>fa_ca_exec_d2_indicatori_score  {"p_anno": …, filtri…, "p_codici": ["PTI"]}</t>
  </si>
  <si>
    <t>Assunti a tempo indeterminato 2523</t>
  </si>
  <si>
    <t>riga D2.PTI · valore_1 (etichetta: componente_1)</t>
  </si>
  <si>
    <t>Totale assunti 3542</t>
  </si>
  <si>
    <t>riga D2.PTI · valore_2 (etichetta: componente_2)</t>
  </si>
  <si>
    <t>2.523 / 3.542 = 0,71 → media ente 0,67</t>
  </si>
  <si>
    <t>riga D2.PTI · valore (etichetta: formula; nota: formula_con_numeri)</t>
  </si>
  <si>
    <t>Non necessaria: score PTI = valore</t>
  </si>
  <si>
    <t>Score PTI ricostruito</t>
  </si>
  <si>
    <t>Score PTI restituito dall'API</t>
  </si>
  <si>
    <t>0,67  (oggi è il valore, non lo score)</t>
  </si>
  <si>
    <t>riga D2.PTI · score / 100</t>
  </si>
  <si>
    <t>Badge PTI restituito dall'API</t>
  </si>
  <si>
    <t>riga D2.PTI · badge</t>
  </si>
  <si>
    <t>PTI = Assunti tempo indet. / Totale assunti · [0;1]</t>
  </si>
  <si>
    <t>riga D2.PTI · formula, unita_soglia, score</t>
  </si>
  <si>
    <t>IRG_Norm  ·  Target sul valore grezzo</t>
  </si>
  <si>
    <t>fa_ca_exec_d2_indicatori_score  {"p_anno": …, filtri…, "p_codici": ["IRG_Norm"]}</t>
  </si>
  <si>
    <t>Assunti under 35 (da KPI) 21.860</t>
  </si>
  <si>
    <t>riga D2.IRG_Norm · valore_1 (etichetta: componente_1)</t>
  </si>
  <si>
    <t>Cessati per pensionamento 5742</t>
  </si>
  <si>
    <t>riga D2.IRG_Norm · valore_2 (etichetta: componente_2)</t>
  </si>
  <si>
    <t>Media ponderata per ente = 0,09</t>
  </si>
  <si>
    <t>riga D2.IRG_Norm · valore (etichetta: formula; nota: formula_con_numeri)</t>
  </si>
  <si>
    <t>Valore grezzo IRG</t>
  </si>
  <si>
    <t>componente_1 / componente_2</t>
  </si>
  <si>
    <t>riga D2.IRG_Norm · valore_1 / valore_2</t>
  </si>
  <si>
    <t>r.valore_1 / r.valore_2</t>
  </si>
  <si>
    <t>Target</t>
  </si>
  <si>
    <t>soglia_score · unita_soglia</t>
  </si>
  <si>
    <t>riga D2.IRG_Norm · soglia_score (+ unita_soglia)</t>
  </si>
  <si>
    <t>r.soglia_score</t>
  </si>
  <si>
    <t>Score IRG_Norm ricostruito</t>
  </si>
  <si>
    <t>Score IRG_Norm restituito dall'API</t>
  </si>
  <si>
    <t>0,09  (oggi è il valore, non lo score)</t>
  </si>
  <si>
    <t>riga D2.IRG_Norm · score / 100</t>
  </si>
  <si>
    <t>Badge IRG_Norm restituito dall'API</t>
  </si>
  <si>
    <t>riga D2.IRG_Norm · badge</t>
  </si>
  <si>
    <t>IRG = Assunti &lt; 35 / Cessati ≥ 60 · normalizzato [0;1]</t>
  </si>
  <si>
    <t>riga D2.IRG_Norm · formula, unita_soglia, score</t>
  </si>
  <si>
    <t>IGF  ·  Composito orientato</t>
  </si>
  <si>
    <t>fa_ca_exec_d2_indicatori_score  {"p_anno": …, filtri…, "p_codici": ["IGF", "IRS", "IDP_Norm", "PTI", "IRG_Norm"]}</t>
  </si>
  <si>
    <t>((IRS+IDP)/2 + PTI + IRG) 1.39</t>
  </si>
  <si>
    <t>riga D2.IGF · valore_1 (etichetta: componente_1)</t>
  </si>
  <si>
    <t>N. componenti formula 3</t>
  </si>
  <si>
    <t>riga D2.IGF · valore_2 (etichetta: componente_2)</t>
  </si>
  <si>
    <t>((0,80+0,45)/2 + 0,67 + 0,09) / 3 = 0,46</t>
  </si>
  <si>
    <t>riga D2.IGF · valore (etichetta: formula; nota: formula_con_numeri)</t>
  </si>
  <si>
    <t>Score IRS</t>
  </si>
  <si>
    <t>score della riga D2.IRS / 100</t>
  </si>
  <si>
    <t>0,80 — barra componente, valore e non score</t>
  </si>
  <si>
    <t>Altra riga</t>
  </si>
  <si>
    <t>righe.get('D2.IRS').score / 100</t>
  </si>
  <si>
    <t>Score IDP_Norm</t>
  </si>
  <si>
    <t>score della riga D2.IDP_Norm / 100</t>
  </si>
  <si>
    <t>0,45 — barra componente, valore e non score</t>
  </si>
  <si>
    <t>righe.get('D2.IDP_Norm').score / 100</t>
  </si>
  <si>
    <t>Score PTI</t>
  </si>
  <si>
    <t>score della riga D2.PTI / 100</t>
  </si>
  <si>
    <t>0,67 — barra componente, valore e non score</t>
  </si>
  <si>
    <t>righe.get('D2.PTI').score / 100</t>
  </si>
  <si>
    <t>Score IRG_Norm</t>
  </si>
  <si>
    <t>score della riga D2.IRG_Norm / 100</t>
  </si>
  <si>
    <t>0,09 — barra componente, valore e non score</t>
  </si>
  <si>
    <t>righe.get('D2.IRG_Norm').score / 100</t>
  </si>
  <si>
    <t>Blocco strutturale (score IRS + score IDP_Norm) / 2</t>
  </si>
  <si>
    <t>calcolo</t>
  </si>
  <si>
    <t>dalle due righe precedenti</t>
  </si>
  <si>
    <t>(sIRS + sIDP_Norm) / 2</t>
  </si>
  <si>
    <t>Score IGF ricostruito</t>
  </si>
  <si>
    <t>Score IGF restituito dall'API</t>
  </si>
  <si>
    <t>0,46  (oggi è il valore, non lo score)</t>
  </si>
  <si>
    <t>riga D2.IGF · score / 100</t>
  </si>
  <si>
    <t>Badge IGF restituito dall'API</t>
  </si>
  <si>
    <t>riga D2.IGF · badge</t>
  </si>
  <si>
    <t>Score dei componenti già interi: uno scarto di 0,01 è atteso.</t>
  </si>
  <si>
    <t>riga D2.IGF · formula, unita_soglia, score</t>
  </si>
  <si>
    <t>D2 — chiamate che alimentano la scomposizione della formula</t>
  </si>
  <si>
    <t>Righe della risposta usate</t>
  </si>
  <si>
    <t>Campi letti</t>
  </si>
  <si>
    <t>Righe calcolate nel frontend</t>
  </si>
  <si>
    <t>badge, score, valore, valore_1, valore_2</t>
  </si>
  <si>
    <t>badge, score, soglia_score, valore, valore_1, valore_2</t>
  </si>
  <si>
    <t>ELIMINARE</t>
  </si>
  <si>
    <t>DISATTIVARE</t>
  </si>
  <si>
    <t>Fulmine verso l'alto, il basso o in pareggio con valorizzazione in 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</si>
</sst>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##"/>
    <numFmt numFmtId="165" formatCode="0.000"/>
    <numFmt numFmtId="166" formatCode="0.0##"/>
  </numFmts>
  <fonts count="9" x14ac:knownFonts="1">
    <font>
      <sz val="11"/>
      <color theme="1"/>
      <name val="Calibri"/>
      <family val="2"/>
      <scheme val="minor"/>
    </font>
    <font>
      <b/>
      <sz val="13"/>
      <color rgb="FF1F3864"/>
      <name val="Arial"/>
    </font>
    <font>
      <i/>
      <sz val="9"/>
      <color rgb="FF595959"/>
      <name val="Arial"/>
    </font>
    <font>
      <i/>
      <sz val="9"/>
      <color rgb="FFC00000"/>
      <name val="Arial"/>
    </font>
    <font>
      <b/>
      <sz val="10"/>
      <color rgb="FFFFFFFF"/>
      <name val="Arial"/>
    </font>
    <font>
      <sz val="10"/>
      <name val="Arial"/>
    </font>
    <font>
      <sz val="9"/>
      <name val="Courier New"/>
    </font>
    <font>
      <b/>
      <sz val="10"/>
      <name val="Arial"/>
    </font>
    <font>
      <b/>
      <sz val="10"/>
      <color rgb="FF1F3864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E4"/>
      </patternFill>
    </fill>
    <fill>
      <patternFill patternType="solid">
        <fgColor rgb="FFDDEBF7"/>
      </patternFill>
    </fill>
    <fill>
      <patternFill patternType="solid">
        <fgColor rgb="FFE7E6E6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C6E0B4"/>
      </patternFill>
    </fill>
    <fill>
      <patternFill patternType="solid">
        <fgColor rgb="FFA9D08E"/>
      </patternFill>
    </fill>
    <fill>
      <patternFill patternType="solid">
        <fgColor rgb="FFEDEDED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 wrapText="1"/>
    </xf>
    <xf numFmtId="0" fontId="7" fillId="0" borderId="0" xfId="0" applyFont="1"/>
    <xf numFmtId="0" fontId="7" fillId="4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top" wrapText="1"/>
    </xf>
    <xf numFmtId="164" fontId="7" fillId="6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2" fontId="8" fillId="6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vertical="top" wrapText="1"/>
    </xf>
    <xf numFmtId="2" fontId="8" fillId="4" borderId="1" xfId="0" applyNumberFormat="1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5" fontId="7" fillId="4" borderId="1" xfId="0" applyNumberFormat="1" applyFont="1" applyFill="1" applyBorder="1" applyAlignment="1">
      <alignment horizontal="right" vertical="center"/>
    </xf>
    <xf numFmtId="166" fontId="7" fillId="4" borderId="1" xfId="0" applyNumberFormat="1" applyFont="1" applyFill="1" applyBorder="1" applyAlignment="1">
      <alignment horizontal="right" vertical="center"/>
    </xf>
    <xf numFmtId="2" fontId="7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/>
    <xf numFmtId="0" fontId="7" fillId="8" borderId="1" xfId="0" applyFont="1" applyFill="1" applyBorder="1"/>
    <xf numFmtId="0" fontId="5" fillId="0" borderId="1" xfId="0" applyFont="1" applyBorder="1"/>
    <xf numFmtId="0" fontId="7" fillId="9" borderId="1" xfId="0" applyFont="1" applyFill="1" applyBorder="1"/>
    <xf numFmtId="0" fontId="7" fillId="10" borderId="1" xfId="0" applyFont="1" applyFill="1" applyBorder="1"/>
    <xf numFmtId="0" fontId="7" fillId="11" borderId="1" xfId="0" applyFont="1" applyFill="1" applyBorder="1"/>
    <xf numFmtId="0" fontId="5" fillId="12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0" fillId="0" borderId="3" xfId="0" applyBorder="1"/>
    <xf numFmtId="0" fontId="0" fillId="0" borderId="2" xfId="0" applyBorder="1"/>
    <xf numFmtId="0" fontId="6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6" fillId="0" borderId="0" xfId="0" applyFont="1" applyAlignment="1">
      <alignment vertical="top" wrapText="1"/>
    </xf>
    <xf numFmtId="0" fontId="0" fillId="0" borderId="0" xfId="0"/>
    <xf numFmtId="0" fontId="8" fillId="7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</cellXfs>
  <cellStyles count="1">
    <cellStyle name="Normale" xfId="0" builtinId="0"/>
  </cellStyles>
  <dxfs count="2">
    <dxf>
      <fill>
        <patternFill patternType="solid">
          <fgColor rgb="FFFCE4E4"/>
        </patternFill>
      </fill>
    </dxf>
    <dxf>
      <fill>
        <patternFill patternType="solid">
          <f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4"/>
  <sheetViews>
    <sheetView workbookViewId="0">
      <pane xSplit="1" ySplit="3" topLeftCell="B4" activePane="bottomRight" state="frozen"/>
      <selection pane="topRight"/>
      <selection pane="bottomLeft"/>
      <selection pane="bottomRight" activeCell="D17" sqref="D17"/>
    </sheetView>
  </sheetViews>
  <sheetFormatPr defaultRowHeight="15" x14ac:dyDescent="0.25"/>
  <cols>
    <col min="1" max="1" width="4" customWidth="1"/>
    <col min="2" max="2" width="38" customWidth="1"/>
    <col min="3" max="3" width="48" customWidth="1"/>
    <col min="4" max="5" width="42" customWidth="1"/>
    <col min="6" max="6" width="62" customWidth="1"/>
  </cols>
  <sheetData>
    <row r="1" spans="1:6" ht="16.5" x14ac:dyDescent="0.25">
      <c r="A1" s="1" t="s">
        <v>0</v>
      </c>
    </row>
    <row r="3" spans="1:6" ht="30" customHeigh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7</v>
      </c>
    </row>
    <row r="4" spans="1:6" ht="48" customHeight="1" x14ac:dyDescent="0.25">
      <c r="A4" s="4" t="s">
        <v>8</v>
      </c>
      <c r="B4" s="5" t="s">
        <v>9</v>
      </c>
      <c r="C4" s="5" t="s">
        <v>10</v>
      </c>
      <c r="D4" s="7" t="s">
        <v>12</v>
      </c>
      <c r="E4" s="5" t="s">
        <v>13</v>
      </c>
      <c r="F4" s="5" t="s">
        <v>11</v>
      </c>
    </row>
    <row r="5" spans="1:6" ht="60" customHeight="1" x14ac:dyDescent="0.25">
      <c r="A5" s="4" t="s">
        <v>15</v>
      </c>
      <c r="B5" s="5" t="s">
        <v>16</v>
      </c>
      <c r="C5" s="5" t="s">
        <v>17</v>
      </c>
      <c r="D5" s="7" t="s">
        <v>18</v>
      </c>
      <c r="E5" s="7" t="s">
        <v>14</v>
      </c>
      <c r="F5" s="5"/>
    </row>
    <row r="6" spans="1:6" ht="60" customHeight="1" x14ac:dyDescent="0.25">
      <c r="A6" s="4" t="s">
        <v>19</v>
      </c>
      <c r="B6" s="5" t="s">
        <v>20</v>
      </c>
      <c r="C6" s="5" t="s">
        <v>21</v>
      </c>
      <c r="D6" s="7" t="s">
        <v>22</v>
      </c>
      <c r="E6" s="7" t="s">
        <v>23</v>
      </c>
      <c r="F6" s="5"/>
    </row>
    <row r="7" spans="1:6" ht="60" customHeight="1" x14ac:dyDescent="0.25">
      <c r="A7" s="4" t="s">
        <v>24</v>
      </c>
      <c r="B7" s="5" t="s">
        <v>25</v>
      </c>
      <c r="C7" s="5" t="s">
        <v>26</v>
      </c>
      <c r="D7" s="7" t="s">
        <v>27</v>
      </c>
      <c r="E7" s="7" t="s">
        <v>28</v>
      </c>
      <c r="F7" s="5"/>
    </row>
    <row r="8" spans="1:6" ht="60" customHeight="1" x14ac:dyDescent="0.25">
      <c r="A8" s="4" t="s">
        <v>30</v>
      </c>
      <c r="B8" s="5" t="s">
        <v>31</v>
      </c>
      <c r="C8" s="5" t="s">
        <v>32</v>
      </c>
      <c r="D8" s="7" t="s">
        <v>27</v>
      </c>
      <c r="E8" s="7" t="s">
        <v>28</v>
      </c>
      <c r="F8" s="5"/>
    </row>
    <row r="9" spans="1:6" ht="60" customHeight="1" x14ac:dyDescent="0.25">
      <c r="A9" s="4" t="s">
        <v>34</v>
      </c>
      <c r="B9" s="5" t="s">
        <v>35</v>
      </c>
      <c r="C9" s="5" t="s">
        <v>36</v>
      </c>
      <c r="D9" s="7" t="s">
        <v>27</v>
      </c>
      <c r="E9" s="7" t="s">
        <v>28</v>
      </c>
      <c r="F9" s="5"/>
    </row>
    <row r="10" spans="1:6" ht="60" customHeight="1" x14ac:dyDescent="0.25">
      <c r="A10" s="4" t="s">
        <v>38</v>
      </c>
      <c r="B10" s="5" t="s">
        <v>39</v>
      </c>
      <c r="C10" s="5" t="s">
        <v>40</v>
      </c>
      <c r="D10" s="7" t="s">
        <v>27</v>
      </c>
      <c r="E10" s="7" t="s">
        <v>28</v>
      </c>
      <c r="F10" s="5"/>
    </row>
    <row r="11" spans="1:6" ht="60" customHeight="1" x14ac:dyDescent="0.25">
      <c r="A11" s="4" t="s">
        <v>41</v>
      </c>
      <c r="B11" s="5" t="s">
        <v>42</v>
      </c>
      <c r="C11" s="5" t="s">
        <v>43</v>
      </c>
      <c r="D11" s="7" t="s">
        <v>27</v>
      </c>
      <c r="E11" s="7" t="s">
        <v>28</v>
      </c>
      <c r="F11" s="5"/>
    </row>
    <row r="12" spans="1:6" ht="60" customHeight="1" x14ac:dyDescent="0.25">
      <c r="A12" s="4" t="s">
        <v>45</v>
      </c>
      <c r="B12" s="5" t="s">
        <v>46</v>
      </c>
      <c r="C12" s="5" t="s">
        <v>47</v>
      </c>
      <c r="D12" s="7" t="s">
        <v>48</v>
      </c>
      <c r="E12" s="7" t="s">
        <v>14</v>
      </c>
      <c r="F12" s="5" t="s">
        <v>303</v>
      </c>
    </row>
    <row r="13" spans="1:6" ht="60" customHeight="1" x14ac:dyDescent="0.25">
      <c r="A13" s="4" t="s">
        <v>49</v>
      </c>
      <c r="B13" s="5" t="s">
        <v>50</v>
      </c>
      <c r="C13" s="5" t="s">
        <v>51</v>
      </c>
      <c r="D13" s="7" t="s">
        <v>52</v>
      </c>
      <c r="E13" s="7" t="s">
        <v>53</v>
      </c>
      <c r="F13" s="5"/>
    </row>
    <row r="14" spans="1:6" x14ac:dyDescent="0.25">
      <c r="A14" s="4" t="s">
        <v>54</v>
      </c>
      <c r="B14" s="5" t="s">
        <v>55</v>
      </c>
      <c r="C14" s="5" t="s">
        <v>56</v>
      </c>
      <c r="D14" s="7" t="s">
        <v>14</v>
      </c>
      <c r="E14" s="7" t="s">
        <v>14</v>
      </c>
      <c r="F14" s="5" t="s">
        <v>304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9"/>
  <sheetViews>
    <sheetView tabSelected="1" workbookViewId="0">
      <pane xSplit="2" ySplit="3" topLeftCell="C6" activePane="bottomRight" state="frozen"/>
      <selection pane="topRight"/>
      <selection pane="bottomLeft"/>
      <selection pane="bottomRight" activeCell="C31" sqref="C31"/>
    </sheetView>
  </sheetViews>
  <sheetFormatPr defaultRowHeight="15" x14ac:dyDescent="0.25"/>
  <cols>
    <col min="1" max="1" width="12" customWidth="1"/>
    <col min="2" max="2" width="30" customWidth="1"/>
    <col min="3" max="3" width="34" customWidth="1"/>
    <col min="4" max="4" width="44" customWidth="1"/>
    <col min="5" max="5" width="34" customWidth="1"/>
    <col min="6" max="6" width="16" customWidth="1"/>
    <col min="7" max="8" width="30" customWidth="1"/>
  </cols>
  <sheetData>
    <row r="1" spans="1:5" ht="16.5" x14ac:dyDescent="0.25">
      <c r="A1" s="1" t="s">
        <v>57</v>
      </c>
    </row>
    <row r="3" spans="1:5" ht="30" customHeight="1" x14ac:dyDescent="0.25">
      <c r="A3" s="3" t="s">
        <v>1</v>
      </c>
      <c r="B3" s="3" t="s">
        <v>58</v>
      </c>
      <c r="C3" s="3" t="s">
        <v>59</v>
      </c>
      <c r="D3" s="3" t="s">
        <v>4</v>
      </c>
      <c r="E3" s="3" t="s">
        <v>60</v>
      </c>
    </row>
    <row r="4" spans="1:5" ht="62.1" customHeight="1" x14ac:dyDescent="0.25">
      <c r="A4" s="4">
        <v>1</v>
      </c>
      <c r="B4" s="5" t="s">
        <v>9</v>
      </c>
      <c r="C4" s="5" t="s">
        <v>10</v>
      </c>
      <c r="D4" s="7" t="s">
        <v>61</v>
      </c>
      <c r="E4" s="7" t="s">
        <v>62</v>
      </c>
    </row>
    <row r="5" spans="1:5" ht="62.1" customHeight="1" x14ac:dyDescent="0.25">
      <c r="A5" s="4">
        <v>2</v>
      </c>
      <c r="B5" s="5" t="s">
        <v>63</v>
      </c>
      <c r="C5" s="5" t="s">
        <v>64</v>
      </c>
      <c r="D5" s="7" t="s">
        <v>65</v>
      </c>
      <c r="E5" s="7" t="s">
        <v>66</v>
      </c>
    </row>
    <row r="6" spans="1:5" ht="62.1" customHeight="1" x14ac:dyDescent="0.25">
      <c r="A6" s="4">
        <v>3</v>
      </c>
      <c r="B6" s="5" t="s">
        <v>67</v>
      </c>
      <c r="C6" s="5" t="s">
        <v>68</v>
      </c>
      <c r="D6" s="7" t="s">
        <v>65</v>
      </c>
      <c r="E6" s="7" t="s">
        <v>69</v>
      </c>
    </row>
    <row r="7" spans="1:5" ht="62.1" customHeight="1" x14ac:dyDescent="0.25">
      <c r="A7" s="4">
        <v>4</v>
      </c>
      <c r="B7" s="5" t="s">
        <v>70</v>
      </c>
      <c r="C7" s="5" t="s">
        <v>71</v>
      </c>
      <c r="D7" s="7" t="s">
        <v>72</v>
      </c>
      <c r="E7" s="7" t="s">
        <v>73</v>
      </c>
    </row>
    <row r="8" spans="1:5" ht="62.1" customHeight="1" x14ac:dyDescent="0.25">
      <c r="A8" s="4">
        <v>5</v>
      </c>
      <c r="B8" s="5" t="s">
        <v>74</v>
      </c>
      <c r="C8" s="5" t="s">
        <v>75</v>
      </c>
      <c r="D8" s="7" t="s">
        <v>76</v>
      </c>
      <c r="E8" s="7" t="s">
        <v>77</v>
      </c>
    </row>
    <row r="9" spans="1:5" ht="62.1" customHeight="1" x14ac:dyDescent="0.25">
      <c r="A9" s="4">
        <v>6</v>
      </c>
      <c r="B9" s="5" t="s">
        <v>78</v>
      </c>
      <c r="C9" s="5" t="s">
        <v>79</v>
      </c>
      <c r="D9" s="7" t="s">
        <v>76</v>
      </c>
      <c r="E9" s="7" t="s">
        <v>80</v>
      </c>
    </row>
    <row r="10" spans="1:5" ht="62.1" customHeight="1" x14ac:dyDescent="0.25">
      <c r="A10" s="4">
        <v>7</v>
      </c>
      <c r="B10" s="5" t="s">
        <v>81</v>
      </c>
      <c r="C10" s="5" t="s">
        <v>82</v>
      </c>
      <c r="D10" s="7" t="s">
        <v>65</v>
      </c>
      <c r="E10" s="7" t="s">
        <v>83</v>
      </c>
    </row>
    <row r="11" spans="1:5" ht="62.1" customHeight="1" x14ac:dyDescent="0.25">
      <c r="A11" s="4">
        <v>8</v>
      </c>
      <c r="B11" s="5" t="s">
        <v>84</v>
      </c>
      <c r="C11" s="5" t="s">
        <v>85</v>
      </c>
      <c r="D11" s="7" t="s">
        <v>86</v>
      </c>
      <c r="E11" s="7" t="s">
        <v>87</v>
      </c>
    </row>
    <row r="12" spans="1:5" ht="62.1" customHeight="1" x14ac:dyDescent="0.25">
      <c r="A12" s="4">
        <v>9</v>
      </c>
      <c r="B12" s="5" t="s">
        <v>88</v>
      </c>
      <c r="C12" s="5" t="s">
        <v>89</v>
      </c>
      <c r="D12" s="7" t="s">
        <v>90</v>
      </c>
      <c r="E12" s="7" t="s">
        <v>14</v>
      </c>
    </row>
    <row r="13" spans="1:5" ht="62.1" customHeight="1" x14ac:dyDescent="0.25">
      <c r="A13" s="4">
        <v>10</v>
      </c>
      <c r="B13" s="5" t="s">
        <v>91</v>
      </c>
      <c r="C13" s="5" t="s">
        <v>92</v>
      </c>
      <c r="D13" s="7" t="s">
        <v>93</v>
      </c>
      <c r="E13" s="7" t="s">
        <v>94</v>
      </c>
    </row>
    <row r="14" spans="1:5" ht="62.1" customHeight="1" x14ac:dyDescent="0.25">
      <c r="A14" s="4">
        <v>11</v>
      </c>
      <c r="B14" s="5" t="s">
        <v>95</v>
      </c>
      <c r="C14" s="5" t="s">
        <v>96</v>
      </c>
      <c r="D14" s="7" t="s">
        <v>65</v>
      </c>
      <c r="E14" s="7" t="s">
        <v>97</v>
      </c>
    </row>
    <row r="15" spans="1:5" ht="62.1" customHeight="1" x14ac:dyDescent="0.25">
      <c r="A15" s="4">
        <v>12</v>
      </c>
      <c r="B15" s="5" t="s">
        <v>98</v>
      </c>
      <c r="C15" s="5" t="s">
        <v>99</v>
      </c>
      <c r="D15" s="7" t="s">
        <v>65</v>
      </c>
      <c r="E15" s="7" t="s">
        <v>100</v>
      </c>
    </row>
    <row r="16" spans="1:5" ht="62.1" customHeight="1" x14ac:dyDescent="0.25">
      <c r="A16" s="4">
        <v>13</v>
      </c>
      <c r="B16" s="5" t="s">
        <v>101</v>
      </c>
      <c r="C16" s="5" t="s">
        <v>102</v>
      </c>
      <c r="D16" s="7" t="s">
        <v>65</v>
      </c>
      <c r="E16" s="7" t="s">
        <v>103</v>
      </c>
    </row>
    <row r="17" spans="1:8" ht="62.1" customHeight="1" x14ac:dyDescent="0.25">
      <c r="A17" s="4">
        <v>14</v>
      </c>
      <c r="B17" s="5" t="s">
        <v>104</v>
      </c>
      <c r="C17" s="5" t="s">
        <v>105</v>
      </c>
      <c r="D17" s="7" t="s">
        <v>72</v>
      </c>
      <c r="E17" s="7" t="s">
        <v>73</v>
      </c>
    </row>
    <row r="18" spans="1:8" ht="62.1" customHeight="1" x14ac:dyDescent="0.25">
      <c r="A18" s="4">
        <v>15</v>
      </c>
      <c r="B18" s="5" t="s">
        <v>106</v>
      </c>
      <c r="C18" s="5" t="s">
        <v>107</v>
      </c>
      <c r="D18" s="7" t="s">
        <v>108</v>
      </c>
      <c r="E18" s="7" t="s">
        <v>109</v>
      </c>
    </row>
    <row r="19" spans="1:8" ht="62.1" customHeight="1" x14ac:dyDescent="0.25">
      <c r="A19" s="4">
        <v>16</v>
      </c>
      <c r="B19" s="5" t="s">
        <v>110</v>
      </c>
      <c r="C19" s="5" t="s">
        <v>305</v>
      </c>
      <c r="D19" s="7" t="s">
        <v>65</v>
      </c>
      <c r="E19" s="7" t="s">
        <v>111</v>
      </c>
    </row>
    <row r="20" spans="1:8" ht="62.1" customHeight="1" x14ac:dyDescent="0.25">
      <c r="A20" s="4">
        <v>17</v>
      </c>
      <c r="B20" s="5" t="s">
        <v>112</v>
      </c>
      <c r="C20" s="5" t="s">
        <v>113</v>
      </c>
      <c r="D20" s="7" t="s">
        <v>114</v>
      </c>
      <c r="E20" s="7" t="s">
        <v>115</v>
      </c>
    </row>
    <row r="22" spans="1:8" x14ac:dyDescent="0.25">
      <c r="A22" s="10" t="s">
        <v>116</v>
      </c>
    </row>
    <row r="23" spans="1:8" x14ac:dyDescent="0.25">
      <c r="A23" s="3" t="s">
        <v>117</v>
      </c>
      <c r="B23" s="3" t="s">
        <v>118</v>
      </c>
      <c r="C23" s="39" t="s">
        <v>119</v>
      </c>
      <c r="D23" s="36"/>
      <c r="E23" s="39" t="s">
        <v>120</v>
      </c>
      <c r="F23" s="37"/>
      <c r="G23" s="37"/>
      <c r="H23" s="36"/>
    </row>
    <row r="24" spans="1:8" ht="21.95" customHeight="1" x14ac:dyDescent="0.25">
      <c r="A24" s="7" t="s">
        <v>121</v>
      </c>
      <c r="B24" s="7" t="s">
        <v>122</v>
      </c>
      <c r="C24" s="38" t="s">
        <v>123</v>
      </c>
      <c r="D24" s="36"/>
      <c r="E24" s="38" t="s">
        <v>121</v>
      </c>
      <c r="F24" s="37"/>
      <c r="G24" s="37"/>
      <c r="H24" s="36"/>
    </row>
    <row r="25" spans="1:8" ht="21.95" customHeight="1" x14ac:dyDescent="0.25">
      <c r="A25" s="7" t="s">
        <v>124</v>
      </c>
      <c r="B25" s="7" t="s">
        <v>122</v>
      </c>
      <c r="C25" s="38" t="s">
        <v>125</v>
      </c>
      <c r="D25" s="36"/>
      <c r="E25" s="38" t="s">
        <v>124</v>
      </c>
      <c r="F25" s="37"/>
      <c r="G25" s="37"/>
      <c r="H25" s="36"/>
    </row>
    <row r="26" spans="1:8" ht="21.95" customHeight="1" x14ac:dyDescent="0.25">
      <c r="A26" s="7" t="s">
        <v>126</v>
      </c>
      <c r="B26" s="7" t="s">
        <v>122</v>
      </c>
      <c r="C26" s="38" t="s">
        <v>127</v>
      </c>
      <c r="D26" s="36"/>
      <c r="E26" s="38" t="s">
        <v>126</v>
      </c>
      <c r="F26" s="37"/>
      <c r="G26" s="37"/>
      <c r="H26" s="36"/>
    </row>
    <row r="27" spans="1:8" ht="21.95" customHeight="1" x14ac:dyDescent="0.25">
      <c r="A27" s="7" t="s">
        <v>128</v>
      </c>
      <c r="B27" s="7" t="s">
        <v>122</v>
      </c>
      <c r="C27" s="38" t="s">
        <v>129</v>
      </c>
      <c r="D27" s="36"/>
      <c r="E27" s="38" t="s">
        <v>128</v>
      </c>
      <c r="F27" s="37"/>
      <c r="G27" s="37"/>
      <c r="H27" s="36"/>
    </row>
    <row r="28" spans="1:8" ht="21.95" customHeight="1" x14ac:dyDescent="0.25">
      <c r="A28" s="7" t="s">
        <v>130</v>
      </c>
      <c r="B28" s="7" t="s">
        <v>122</v>
      </c>
      <c r="C28" s="38" t="s">
        <v>131</v>
      </c>
      <c r="D28" s="36"/>
      <c r="E28" s="38" t="s">
        <v>132</v>
      </c>
      <c r="F28" s="37"/>
      <c r="G28" s="37"/>
      <c r="H28" s="36"/>
    </row>
    <row r="29" spans="1:8" x14ac:dyDescent="0.25">
      <c r="A29" s="2" t="s">
        <v>133</v>
      </c>
    </row>
  </sheetData>
  <mergeCells count="12">
    <mergeCell ref="E27:H27"/>
    <mergeCell ref="E26:H26"/>
    <mergeCell ref="E28:H28"/>
    <mergeCell ref="C26:D26"/>
    <mergeCell ref="E25:H25"/>
    <mergeCell ref="C23:D23"/>
    <mergeCell ref="C25:D25"/>
    <mergeCell ref="C24:D24"/>
    <mergeCell ref="C27:D27"/>
    <mergeCell ref="E23:H23"/>
    <mergeCell ref="E24:H24"/>
    <mergeCell ref="C28:D28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7"/>
  <sheetViews>
    <sheetView workbookViewId="0">
      <pane ySplit="7" topLeftCell="A8" activePane="bottomLeft" state="frozen"/>
      <selection pane="bottomLeft" activeCell="B18" sqref="B18"/>
    </sheetView>
  </sheetViews>
  <sheetFormatPr defaultRowHeight="15" x14ac:dyDescent="0.25"/>
  <cols>
    <col min="1" max="1" width="16" customWidth="1"/>
    <col min="2" max="2" width="14" customWidth="1"/>
    <col min="3" max="3" width="24" customWidth="1"/>
    <col min="4" max="6" width="14" customWidth="1"/>
    <col min="7" max="8" width="18" customWidth="1"/>
    <col min="9" max="9" width="46" customWidth="1"/>
  </cols>
  <sheetData>
    <row r="1" spans="1:4" ht="16.5" x14ac:dyDescent="0.25">
      <c r="A1" s="1" t="s">
        <v>137</v>
      </c>
    </row>
    <row r="3" spans="1:4" x14ac:dyDescent="0.25">
      <c r="A3" s="28" t="s">
        <v>138</v>
      </c>
      <c r="B3" s="28" t="s">
        <v>139</v>
      </c>
      <c r="C3" s="28" t="s">
        <v>140</v>
      </c>
      <c r="D3" s="28" t="s">
        <v>141</v>
      </c>
    </row>
    <row r="4" spans="1:4" x14ac:dyDescent="0.25">
      <c r="A4" s="29" t="s">
        <v>142</v>
      </c>
      <c r="B4" s="30">
        <v>0</v>
      </c>
      <c r="C4" s="30">
        <v>25</v>
      </c>
      <c r="D4" s="30" t="s">
        <v>143</v>
      </c>
    </row>
    <row r="5" spans="1:4" x14ac:dyDescent="0.25">
      <c r="A5" s="31" t="s">
        <v>136</v>
      </c>
      <c r="B5" s="30">
        <v>25</v>
      </c>
      <c r="C5" s="30">
        <v>50</v>
      </c>
      <c r="D5" s="30" t="s">
        <v>143</v>
      </c>
    </row>
    <row r="6" spans="1:4" x14ac:dyDescent="0.25">
      <c r="A6" s="32" t="s">
        <v>135</v>
      </c>
      <c r="B6" s="30">
        <v>50</v>
      </c>
      <c r="C6" s="30">
        <v>75</v>
      </c>
      <c r="D6" s="30" t="s">
        <v>143</v>
      </c>
    </row>
    <row r="7" spans="1:4" x14ac:dyDescent="0.25">
      <c r="A7" s="33" t="s">
        <v>144</v>
      </c>
      <c r="B7" s="30">
        <v>75</v>
      </c>
      <c r="C7" s="30">
        <v>101</v>
      </c>
      <c r="D7" s="30" t="s">
        <v>143</v>
      </c>
    </row>
  </sheetData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61"/>
  <sheetViews>
    <sheetView workbookViewId="0">
      <pane ySplit="2" topLeftCell="A43" activePane="bottomLeft" state="frozen"/>
      <selection pane="bottomLeft" activeCell="A2" sqref="A2:XFD4"/>
    </sheetView>
  </sheetViews>
  <sheetFormatPr defaultRowHeight="15" x14ac:dyDescent="0.25"/>
  <cols>
    <col min="1" max="1" width="13" customWidth="1"/>
    <col min="2" max="2" width="18" customWidth="1"/>
    <col min="3" max="3" width="50" customWidth="1"/>
    <col min="4" max="4" width="14" customWidth="1"/>
    <col min="5" max="5" width="32" customWidth="1"/>
    <col min="6" max="6" width="34" customWidth="1"/>
    <col min="7" max="7" width="52" customWidth="1"/>
    <col min="8" max="8" width="9" customWidth="1"/>
    <col min="9" max="9" width="16" customWidth="1"/>
    <col min="10" max="10" width="42" customWidth="1"/>
    <col min="11" max="11" width="52" customWidth="1"/>
  </cols>
  <sheetData>
    <row r="1" spans="1:11" ht="16.5" x14ac:dyDescent="0.25">
      <c r="A1" s="1" t="s">
        <v>146</v>
      </c>
    </row>
    <row r="2" spans="1:11" x14ac:dyDescent="0.25">
      <c r="A2" s="3" t="s">
        <v>117</v>
      </c>
      <c r="B2" s="3" t="s">
        <v>147</v>
      </c>
      <c r="C2" s="3" t="s">
        <v>148</v>
      </c>
      <c r="D2" s="3" t="s">
        <v>145</v>
      </c>
      <c r="E2" s="3" t="s">
        <v>149</v>
      </c>
      <c r="F2" s="3" t="s">
        <v>150</v>
      </c>
      <c r="G2" s="3" t="s">
        <v>7</v>
      </c>
      <c r="H2" s="3" t="s">
        <v>151</v>
      </c>
      <c r="I2" s="3" t="s">
        <v>152</v>
      </c>
      <c r="J2" s="3" t="s">
        <v>153</v>
      </c>
      <c r="K2" s="3" t="s">
        <v>154</v>
      </c>
    </row>
    <row r="3" spans="1:11" x14ac:dyDescent="0.25">
      <c r="A3" s="42" t="s">
        <v>155</v>
      </c>
      <c r="B3" s="37"/>
      <c r="C3" s="37"/>
      <c r="D3" s="37"/>
      <c r="E3" s="37"/>
      <c r="F3" s="36"/>
      <c r="G3" s="13" t="s">
        <v>156</v>
      </c>
      <c r="H3" s="14" t="str">
        <f>IFERROR(MATCH("D2.IRS",#REF!,0),"")</f>
        <v/>
      </c>
      <c r="J3" s="40" t="s">
        <v>157</v>
      </c>
      <c r="K3" s="41"/>
    </row>
    <row r="4" spans="1:11" ht="24" x14ac:dyDescent="0.25">
      <c r="A4" s="7" t="s">
        <v>121</v>
      </c>
      <c r="B4" s="15" t="s">
        <v>158</v>
      </c>
      <c r="C4" s="15" t="str">
        <f>IFERROR(INDEX(#REF!,$H$3),"componente_1")</f>
        <v>componente_1</v>
      </c>
      <c r="D4" s="16" t="str">
        <f>IFERROR(INDEX(#REF!,$H$3),"")</f>
        <v/>
      </c>
      <c r="E4" s="17" t="s">
        <v>159</v>
      </c>
      <c r="F4" s="34" t="s">
        <v>160</v>
      </c>
      <c r="G4" s="18" t="str">
        <f>IFERROR("anno "&amp;INDEX(#REF!,$H$3),"")</f>
        <v/>
      </c>
      <c r="I4" s="6" t="s">
        <v>161</v>
      </c>
      <c r="J4" s="7" t="s">
        <v>162</v>
      </c>
      <c r="K4" s="7" t="s">
        <v>163</v>
      </c>
    </row>
    <row r="5" spans="1:11" ht="24" x14ac:dyDescent="0.25">
      <c r="A5" s="5"/>
      <c r="B5" s="15" t="s">
        <v>158</v>
      </c>
      <c r="C5" s="15" t="str">
        <f>IFERROR(INDEX(#REF!,$H$3),"componente_2")</f>
        <v>componente_2</v>
      </c>
      <c r="D5" s="16" t="str">
        <f>IFERROR(INDEX(#REF!,$H$3),"")</f>
        <v/>
      </c>
      <c r="E5" s="17" t="s">
        <v>164</v>
      </c>
      <c r="F5" s="34" t="s">
        <v>165</v>
      </c>
      <c r="G5" s="18" t="str">
        <f>IFERROR("anno "&amp;INDEX(#REF!,$H$3),"")</f>
        <v/>
      </c>
      <c r="I5" s="6" t="s">
        <v>161</v>
      </c>
      <c r="J5" s="7" t="s">
        <v>166</v>
      </c>
      <c r="K5" s="7" t="s">
        <v>167</v>
      </c>
    </row>
    <row r="6" spans="1:11" ht="24" x14ac:dyDescent="0.25">
      <c r="A6" s="5"/>
      <c r="B6" s="15" t="s">
        <v>158</v>
      </c>
      <c r="C6" s="19" t="str">
        <f>"IRS = "&amp;IFERROR(INDEX(#REF!,$H$3),"")</f>
        <v xml:space="preserve">IRS = </v>
      </c>
      <c r="D6" s="20" t="str">
        <f>IFERROR(INDEX(#REF!,$H$3),"")</f>
        <v/>
      </c>
      <c r="E6" s="17" t="s">
        <v>168</v>
      </c>
      <c r="F6" s="34" t="s">
        <v>169</v>
      </c>
      <c r="G6" s="18" t="str">
        <f>IFERROR(INDEX(#REF!,$H$3),"")</f>
        <v/>
      </c>
      <c r="I6" s="6" t="s">
        <v>161</v>
      </c>
      <c r="J6" s="7" t="s">
        <v>170</v>
      </c>
      <c r="K6" s="7" t="s">
        <v>171</v>
      </c>
    </row>
    <row r="7" spans="1:11" x14ac:dyDescent="0.25">
      <c r="A7" s="5"/>
      <c r="B7" s="9" t="s">
        <v>172</v>
      </c>
      <c r="C7" s="9" t="s">
        <v>173</v>
      </c>
      <c r="D7" s="9"/>
      <c r="E7" s="21" t="s">
        <v>14</v>
      </c>
      <c r="F7" s="35" t="s">
        <v>174</v>
      </c>
      <c r="G7" s="5"/>
      <c r="I7" s="24" t="s">
        <v>14</v>
      </c>
      <c r="J7" s="7" t="s">
        <v>175</v>
      </c>
      <c r="K7" s="7" t="s">
        <v>14</v>
      </c>
    </row>
    <row r="8" spans="1:11" ht="25.5" x14ac:dyDescent="0.25">
      <c r="A8" s="5"/>
      <c r="B8" s="9" t="s">
        <v>172</v>
      </c>
      <c r="C8" s="11" t="s">
        <v>176</v>
      </c>
      <c r="D8" s="22" t="str">
        <f>IFERROR(MAX(1,ROUND(100*($D$6),0))/100,"")</f>
        <v/>
      </c>
      <c r="E8" s="21" t="s">
        <v>177</v>
      </c>
      <c r="F8" s="18" t="s">
        <v>178</v>
      </c>
      <c r="G8" s="18" t="str">
        <f>IFERROR("formula_score: "&amp;INDEX(#REF!,$H$3),"")</f>
        <v/>
      </c>
      <c r="I8" s="8" t="s">
        <v>179</v>
      </c>
      <c r="J8" s="7" t="s">
        <v>180</v>
      </c>
      <c r="K8" s="7" t="s">
        <v>181</v>
      </c>
    </row>
    <row r="9" spans="1:11" ht="24" x14ac:dyDescent="0.25">
      <c r="A9" s="5"/>
      <c r="B9" s="9" t="s">
        <v>182</v>
      </c>
      <c r="C9" s="11" t="s">
        <v>183</v>
      </c>
      <c r="D9" s="22" t="str">
        <f>IFERROR(INDEX(#REF!,$H$3)/100,"")</f>
        <v/>
      </c>
      <c r="E9" s="21" t="s">
        <v>77</v>
      </c>
      <c r="F9" s="34" t="s">
        <v>184</v>
      </c>
      <c r="G9" s="18" t="s">
        <v>185</v>
      </c>
      <c r="I9" s="6" t="s">
        <v>161</v>
      </c>
      <c r="J9" s="7" t="s">
        <v>186</v>
      </c>
      <c r="K9" s="7" t="s">
        <v>187</v>
      </c>
    </row>
    <row r="10" spans="1:11" ht="24" x14ac:dyDescent="0.25">
      <c r="A10" s="5"/>
      <c r="B10" s="9" t="s">
        <v>138</v>
      </c>
      <c r="C10" s="11" t="s">
        <v>188</v>
      </c>
      <c r="D10" s="23" t="str">
        <f>IFERROR(""&amp;INDEX(#REF!,$H$3),"")</f>
        <v/>
      </c>
      <c r="E10" s="21" t="s">
        <v>189</v>
      </c>
      <c r="F10" s="34" t="s">
        <v>135</v>
      </c>
      <c r="G10" s="18" t="s">
        <v>190</v>
      </c>
      <c r="I10" s="6" t="s">
        <v>161</v>
      </c>
      <c r="J10" s="7" t="s">
        <v>191</v>
      </c>
      <c r="K10" s="7" t="s">
        <v>192</v>
      </c>
    </row>
    <row r="11" spans="1:11" ht="25.5" x14ac:dyDescent="0.25">
      <c r="A11" s="5"/>
      <c r="B11" s="5" t="s">
        <v>193</v>
      </c>
      <c r="C11" s="5" t="s">
        <v>194</v>
      </c>
      <c r="D11" s="24" t="str">
        <f>IF(OR($D$8="",$D$9=""),"in attesa",IF(ABS($D$8-$D$9)&lt;0.005,"OK","Δ "&amp;FIXED($D$8-$D$9,2)))</f>
        <v>in attesa</v>
      </c>
      <c r="E11" s="5"/>
      <c r="F11" s="18" t="s">
        <v>178</v>
      </c>
      <c r="G11" s="18" t="s">
        <v>195</v>
      </c>
      <c r="I11" s="8" t="s">
        <v>179</v>
      </c>
      <c r="J11" s="7" t="s">
        <v>196</v>
      </c>
      <c r="K11" s="7" t="s">
        <v>197</v>
      </c>
    </row>
    <row r="12" spans="1:11" ht="45.95" customHeight="1" x14ac:dyDescent="0.25">
      <c r="A12" s="5"/>
      <c r="B12" s="5" t="s">
        <v>198</v>
      </c>
      <c r="C12" s="43" t="str">
        <f>IF($D$9="","in attesa della risposta API",IFERROR(INDEX(#REF!,$H$3),"")&amp;" · Normalizzazione: "&amp;"nessuna normalizzazione: lo score coincide con il valore"&amp;" → IRS ("&amp;FIXED($D$9,2)&amp;")")</f>
        <v>in attesa della risposta API</v>
      </c>
      <c r="D12" s="37"/>
      <c r="E12" s="36"/>
      <c r="F12" s="34" t="s">
        <v>199</v>
      </c>
      <c r="I12" s="8" t="s">
        <v>179</v>
      </c>
      <c r="J12" s="7" t="s">
        <v>200</v>
      </c>
      <c r="K12" s="7" t="s">
        <v>201</v>
      </c>
    </row>
    <row r="14" spans="1:11" x14ac:dyDescent="0.25">
      <c r="A14" s="42" t="s">
        <v>202</v>
      </c>
      <c r="B14" s="37"/>
      <c r="C14" s="37"/>
      <c r="D14" s="37"/>
      <c r="E14" s="37"/>
      <c r="F14" s="36"/>
      <c r="G14" s="13" t="s">
        <v>156</v>
      </c>
      <c r="H14" s="14" t="str">
        <f>IFERROR(MATCH("D2.IDP_Norm",#REF!,0),"")</f>
        <v/>
      </c>
      <c r="J14" s="40" t="s">
        <v>203</v>
      </c>
      <c r="K14" s="41"/>
    </row>
    <row r="15" spans="1:11" ht="24" x14ac:dyDescent="0.25">
      <c r="A15" s="7" t="s">
        <v>124</v>
      </c>
      <c r="B15" s="15" t="s">
        <v>158</v>
      </c>
      <c r="C15" s="15" t="str">
        <f>IFERROR(INDEX(#REF!,$H$14),"componente_1")</f>
        <v>componente_1</v>
      </c>
      <c r="D15" s="16" t="str">
        <f>IFERROR(INDEX(#REF!,$H$14),"")</f>
        <v/>
      </c>
      <c r="E15" s="17" t="s">
        <v>159</v>
      </c>
      <c r="F15" s="34" t="s">
        <v>204</v>
      </c>
      <c r="G15" s="18" t="str">
        <f>IFERROR("anno "&amp;INDEX(#REF!,$H$14),"")</f>
        <v/>
      </c>
      <c r="I15" s="6" t="s">
        <v>161</v>
      </c>
      <c r="J15" s="7" t="s">
        <v>205</v>
      </c>
      <c r="K15" s="7" t="s">
        <v>163</v>
      </c>
    </row>
    <row r="16" spans="1:11" ht="24" x14ac:dyDescent="0.25">
      <c r="A16" s="5"/>
      <c r="B16" s="15" t="s">
        <v>158</v>
      </c>
      <c r="C16" s="15" t="str">
        <f>IFERROR(INDEX(#REF!,$H$14),"componente_2")</f>
        <v>componente_2</v>
      </c>
      <c r="D16" s="16" t="str">
        <f>IFERROR(INDEX(#REF!,$H$14),"")</f>
        <v/>
      </c>
      <c r="E16" s="17" t="s">
        <v>164</v>
      </c>
      <c r="F16" s="34" t="s">
        <v>206</v>
      </c>
      <c r="G16" s="18" t="str">
        <f>IFERROR("anno "&amp;INDEX(#REF!,$H$14),"")</f>
        <v/>
      </c>
      <c r="I16" s="6" t="s">
        <v>161</v>
      </c>
      <c r="J16" s="7" t="s">
        <v>207</v>
      </c>
      <c r="K16" s="7" t="s">
        <v>167</v>
      </c>
    </row>
    <row r="17" spans="1:11" ht="25.5" x14ac:dyDescent="0.25">
      <c r="A17" s="5"/>
      <c r="B17" s="15" t="s">
        <v>158</v>
      </c>
      <c r="C17" s="19" t="str">
        <f>"IDP_Norm = "&amp;IFERROR(INDEX(#REF!,$H$14),"")</f>
        <v xml:space="preserve">IDP_Norm = </v>
      </c>
      <c r="D17" s="20" t="str">
        <f>IFERROR(INDEX(#REF!,$H$14),"")</f>
        <v/>
      </c>
      <c r="E17" s="17" t="s">
        <v>168</v>
      </c>
      <c r="F17" s="34" t="s">
        <v>208</v>
      </c>
      <c r="G17" s="18" t="str">
        <f>IFERROR(INDEX(#REF!,$H$14),"")</f>
        <v/>
      </c>
      <c r="I17" s="6" t="s">
        <v>161</v>
      </c>
      <c r="J17" s="7" t="s">
        <v>209</v>
      </c>
      <c r="K17" s="7" t="s">
        <v>171</v>
      </c>
    </row>
    <row r="18" spans="1:11" x14ac:dyDescent="0.25">
      <c r="A18" s="5"/>
      <c r="B18" s="9" t="s">
        <v>172</v>
      </c>
      <c r="C18" s="9" t="s">
        <v>210</v>
      </c>
      <c r="D18" s="9"/>
      <c r="E18" s="21" t="s">
        <v>14</v>
      </c>
      <c r="F18" s="35" t="s">
        <v>174</v>
      </c>
      <c r="G18" s="5"/>
      <c r="I18" s="24" t="s">
        <v>14</v>
      </c>
      <c r="J18" s="7" t="s">
        <v>175</v>
      </c>
      <c r="K18" s="7" t="s">
        <v>14</v>
      </c>
    </row>
    <row r="19" spans="1:11" ht="25.5" x14ac:dyDescent="0.25">
      <c r="A19" s="5"/>
      <c r="B19" s="9" t="s">
        <v>172</v>
      </c>
      <c r="C19" s="11" t="s">
        <v>211</v>
      </c>
      <c r="D19" s="22" t="str">
        <f>IFERROR(MAX(1,ROUND(100*($D$17),0))/100,"")</f>
        <v/>
      </c>
      <c r="E19" s="21" t="s">
        <v>177</v>
      </c>
      <c r="F19" s="18" t="s">
        <v>178</v>
      </c>
      <c r="G19" s="18" t="str">
        <f>IFERROR("formula_score: "&amp;INDEX(#REF!,$H$14),"")</f>
        <v/>
      </c>
      <c r="I19" s="8" t="s">
        <v>179</v>
      </c>
      <c r="J19" s="7" t="s">
        <v>180</v>
      </c>
      <c r="K19" s="7" t="s">
        <v>181</v>
      </c>
    </row>
    <row r="20" spans="1:11" ht="24" x14ac:dyDescent="0.25">
      <c r="A20" s="5"/>
      <c r="B20" s="9" t="s">
        <v>182</v>
      </c>
      <c r="C20" s="11" t="s">
        <v>212</v>
      </c>
      <c r="D20" s="22" t="str">
        <f>IFERROR(INDEX(#REF!,$H$14)/100,"")</f>
        <v/>
      </c>
      <c r="E20" s="21" t="s">
        <v>77</v>
      </c>
      <c r="F20" s="34" t="s">
        <v>213</v>
      </c>
      <c r="G20" s="18" t="s">
        <v>185</v>
      </c>
      <c r="I20" s="6" t="s">
        <v>161</v>
      </c>
      <c r="J20" s="7" t="s">
        <v>214</v>
      </c>
      <c r="K20" s="7" t="s">
        <v>187</v>
      </c>
    </row>
    <row r="21" spans="1:11" ht="24" x14ac:dyDescent="0.25">
      <c r="A21" s="5"/>
      <c r="B21" s="9" t="s">
        <v>138</v>
      </c>
      <c r="C21" s="11" t="s">
        <v>215</v>
      </c>
      <c r="D21" s="23" t="str">
        <f>IFERROR(""&amp;INDEX(#REF!,$H$14),"")</f>
        <v/>
      </c>
      <c r="E21" s="21" t="s">
        <v>189</v>
      </c>
      <c r="F21" s="34" t="s">
        <v>134</v>
      </c>
      <c r="G21" s="18" t="s">
        <v>190</v>
      </c>
      <c r="I21" s="6" t="s">
        <v>161</v>
      </c>
      <c r="J21" s="7" t="s">
        <v>216</v>
      </c>
      <c r="K21" s="7" t="s">
        <v>192</v>
      </c>
    </row>
    <row r="22" spans="1:11" ht="25.5" x14ac:dyDescent="0.25">
      <c r="A22" s="5"/>
      <c r="B22" s="5" t="s">
        <v>193</v>
      </c>
      <c r="C22" s="5" t="s">
        <v>194</v>
      </c>
      <c r="D22" s="24" t="str">
        <f>IF(OR($D$19="",$D$20=""),"in attesa",IF(ABS($D$19-$D$20)&lt;0.005,"OK","Δ "&amp;FIXED($D$19-$D$20,2)))</f>
        <v>in attesa</v>
      </c>
      <c r="E22" s="5"/>
      <c r="F22" s="18" t="s">
        <v>178</v>
      </c>
      <c r="G22" s="18" t="s">
        <v>195</v>
      </c>
      <c r="I22" s="8" t="s">
        <v>179</v>
      </c>
      <c r="J22" s="7" t="s">
        <v>196</v>
      </c>
      <c r="K22" s="7" t="s">
        <v>197</v>
      </c>
    </row>
    <row r="23" spans="1:11" ht="45.95" customHeight="1" x14ac:dyDescent="0.25">
      <c r="A23" s="5"/>
      <c r="B23" s="5" t="s">
        <v>198</v>
      </c>
      <c r="C23" s="43" t="str">
        <f>IF($D$20="","in attesa della risposta API",IFERROR(INDEX(#REF!,$H$14),"")&amp;" · Normalizzazione: "&amp;"nessuna normalizzazione: lo score coincide con il valore"&amp;" → IDP_Norm ("&amp;FIXED($D$20,2)&amp;")")</f>
        <v>in attesa della risposta API</v>
      </c>
      <c r="D23" s="37"/>
      <c r="E23" s="36"/>
      <c r="F23" s="34" t="s">
        <v>217</v>
      </c>
      <c r="I23" s="8" t="s">
        <v>179</v>
      </c>
      <c r="J23" s="7" t="s">
        <v>218</v>
      </c>
      <c r="K23" s="7" t="s">
        <v>201</v>
      </c>
    </row>
    <row r="25" spans="1:11" x14ac:dyDescent="0.25">
      <c r="A25" s="42" t="s">
        <v>219</v>
      </c>
      <c r="B25" s="37"/>
      <c r="C25" s="37"/>
      <c r="D25" s="37"/>
      <c r="E25" s="37"/>
      <c r="F25" s="36"/>
      <c r="G25" s="13" t="s">
        <v>156</v>
      </c>
      <c r="H25" s="14" t="str">
        <f>IFERROR(MATCH("D2.PTI",#REF!,0),"")</f>
        <v/>
      </c>
      <c r="J25" s="40" t="s">
        <v>220</v>
      </c>
      <c r="K25" s="41"/>
    </row>
    <row r="26" spans="1:11" ht="24" x14ac:dyDescent="0.25">
      <c r="A26" s="7" t="s">
        <v>126</v>
      </c>
      <c r="B26" s="15" t="s">
        <v>158</v>
      </c>
      <c r="C26" s="15" t="str">
        <f>IFERROR(INDEX(#REF!,$H$25),"componente_1")</f>
        <v>componente_1</v>
      </c>
      <c r="D26" s="16" t="str">
        <f>IFERROR(INDEX(#REF!,$H$25),"")</f>
        <v/>
      </c>
      <c r="E26" s="17" t="s">
        <v>159</v>
      </c>
      <c r="F26" s="34" t="s">
        <v>221</v>
      </c>
      <c r="G26" s="18" t="str">
        <f>IFERROR("anno "&amp;INDEX(#REF!,$H$25),"")</f>
        <v/>
      </c>
      <c r="I26" s="6" t="s">
        <v>161</v>
      </c>
      <c r="J26" s="7" t="s">
        <v>222</v>
      </c>
      <c r="K26" s="7" t="s">
        <v>163</v>
      </c>
    </row>
    <row r="27" spans="1:11" ht="24" x14ac:dyDescent="0.25">
      <c r="A27" s="5"/>
      <c r="B27" s="15" t="s">
        <v>158</v>
      </c>
      <c r="C27" s="15" t="str">
        <f>IFERROR(INDEX(#REF!,$H$25),"componente_2")</f>
        <v>componente_2</v>
      </c>
      <c r="D27" s="16" t="str">
        <f>IFERROR(INDEX(#REF!,$H$25),"")</f>
        <v/>
      </c>
      <c r="E27" s="17" t="s">
        <v>164</v>
      </c>
      <c r="F27" s="34" t="s">
        <v>223</v>
      </c>
      <c r="G27" s="18" t="str">
        <f>IFERROR("anno "&amp;INDEX(#REF!,$H$25),"")</f>
        <v/>
      </c>
      <c r="I27" s="6" t="s">
        <v>161</v>
      </c>
      <c r="J27" s="7" t="s">
        <v>224</v>
      </c>
      <c r="K27" s="7" t="s">
        <v>167</v>
      </c>
    </row>
    <row r="28" spans="1:11" ht="25.5" x14ac:dyDescent="0.25">
      <c r="A28" s="5"/>
      <c r="B28" s="15" t="s">
        <v>158</v>
      </c>
      <c r="C28" s="19" t="str">
        <f>"PTI = "&amp;IFERROR(INDEX(#REF!,$H$25),"")</f>
        <v xml:space="preserve">PTI = </v>
      </c>
      <c r="D28" s="20" t="str">
        <f>IFERROR(INDEX(#REF!,$H$25),"")</f>
        <v/>
      </c>
      <c r="E28" s="17" t="s">
        <v>168</v>
      </c>
      <c r="F28" s="34" t="s">
        <v>225</v>
      </c>
      <c r="G28" s="18" t="str">
        <f>IFERROR(INDEX(#REF!,$H$25),"")</f>
        <v/>
      </c>
      <c r="I28" s="6" t="s">
        <v>161</v>
      </c>
      <c r="J28" s="7" t="s">
        <v>226</v>
      </c>
      <c r="K28" s="7" t="s">
        <v>171</v>
      </c>
    </row>
    <row r="29" spans="1:11" x14ac:dyDescent="0.25">
      <c r="A29" s="5"/>
      <c r="B29" s="9" t="s">
        <v>172</v>
      </c>
      <c r="C29" s="9" t="s">
        <v>227</v>
      </c>
      <c r="D29" s="9"/>
      <c r="E29" s="21" t="s">
        <v>14</v>
      </c>
      <c r="F29" s="35" t="s">
        <v>174</v>
      </c>
      <c r="G29" s="5"/>
      <c r="I29" s="24" t="s">
        <v>14</v>
      </c>
      <c r="J29" s="7" t="s">
        <v>175</v>
      </c>
      <c r="K29" s="7" t="s">
        <v>14</v>
      </c>
    </row>
    <row r="30" spans="1:11" ht="25.5" x14ac:dyDescent="0.25">
      <c r="A30" s="5"/>
      <c r="B30" s="9" t="s">
        <v>172</v>
      </c>
      <c r="C30" s="11" t="s">
        <v>228</v>
      </c>
      <c r="D30" s="22" t="str">
        <f>IFERROR(MAX(1,ROUND(100*($D$28),0))/100,"")</f>
        <v/>
      </c>
      <c r="E30" s="21" t="s">
        <v>177</v>
      </c>
      <c r="F30" s="18" t="s">
        <v>178</v>
      </c>
      <c r="G30" s="18" t="str">
        <f>IFERROR("formula_score: "&amp;INDEX(#REF!,$H$25),"")</f>
        <v/>
      </c>
      <c r="I30" s="8" t="s">
        <v>179</v>
      </c>
      <c r="J30" s="7" t="s">
        <v>180</v>
      </c>
      <c r="K30" s="7" t="s">
        <v>181</v>
      </c>
    </row>
    <row r="31" spans="1:11" ht="24" x14ac:dyDescent="0.25">
      <c r="A31" s="5"/>
      <c r="B31" s="9" t="s">
        <v>182</v>
      </c>
      <c r="C31" s="11" t="s">
        <v>229</v>
      </c>
      <c r="D31" s="22" t="str">
        <f>IFERROR(INDEX(#REF!,$H$25)/100,"")</f>
        <v/>
      </c>
      <c r="E31" s="21" t="s">
        <v>77</v>
      </c>
      <c r="F31" s="34" t="s">
        <v>230</v>
      </c>
      <c r="G31" s="18" t="s">
        <v>185</v>
      </c>
      <c r="I31" s="6" t="s">
        <v>161</v>
      </c>
      <c r="J31" s="7" t="s">
        <v>231</v>
      </c>
      <c r="K31" s="7" t="s">
        <v>187</v>
      </c>
    </row>
    <row r="32" spans="1:11" ht="24" x14ac:dyDescent="0.25">
      <c r="A32" s="5"/>
      <c r="B32" s="9" t="s">
        <v>138</v>
      </c>
      <c r="C32" s="11" t="s">
        <v>232</v>
      </c>
      <c r="D32" s="23" t="str">
        <f>IFERROR(""&amp;INDEX(#REF!,$H$25),"")</f>
        <v/>
      </c>
      <c r="E32" s="21" t="s">
        <v>189</v>
      </c>
      <c r="F32" s="34" t="s">
        <v>136</v>
      </c>
      <c r="G32" s="18" t="s">
        <v>190</v>
      </c>
      <c r="I32" s="6" t="s">
        <v>161</v>
      </c>
      <c r="J32" s="7" t="s">
        <v>233</v>
      </c>
      <c r="K32" s="7" t="s">
        <v>192</v>
      </c>
    </row>
    <row r="33" spans="1:11" ht="25.5" x14ac:dyDescent="0.25">
      <c r="A33" s="5"/>
      <c r="B33" s="5" t="s">
        <v>193</v>
      </c>
      <c r="C33" s="5" t="s">
        <v>194</v>
      </c>
      <c r="D33" s="24" t="str">
        <f>IF(OR($D$30="",$D$31=""),"in attesa",IF(ABS($D$30-$D$31)&lt;0.005,"OK","Δ "&amp;FIXED($D$30-$D$31,2)))</f>
        <v>in attesa</v>
      </c>
      <c r="E33" s="5"/>
      <c r="F33" s="18" t="s">
        <v>178</v>
      </c>
      <c r="G33" s="18" t="s">
        <v>195</v>
      </c>
      <c r="I33" s="8" t="s">
        <v>179</v>
      </c>
      <c r="J33" s="7" t="s">
        <v>196</v>
      </c>
      <c r="K33" s="7" t="s">
        <v>197</v>
      </c>
    </row>
    <row r="34" spans="1:11" ht="45.95" customHeight="1" x14ac:dyDescent="0.25">
      <c r="A34" s="5"/>
      <c r="B34" s="5" t="s">
        <v>198</v>
      </c>
      <c r="C34" s="43" t="str">
        <f>IF($D$31="","in attesa della risposta API",IFERROR(INDEX(#REF!,$H$25),"")&amp;" · Normalizzazione: "&amp;"nessuna normalizzazione: lo score coincide con il valore"&amp;" → PTI ("&amp;FIXED($D$31,2)&amp;")")</f>
        <v>in attesa della risposta API</v>
      </c>
      <c r="D34" s="37"/>
      <c r="E34" s="36"/>
      <c r="F34" s="34" t="s">
        <v>234</v>
      </c>
      <c r="I34" s="8" t="s">
        <v>179</v>
      </c>
      <c r="J34" s="7" t="s">
        <v>235</v>
      </c>
      <c r="K34" s="7" t="s">
        <v>201</v>
      </c>
    </row>
    <row r="36" spans="1:11" x14ac:dyDescent="0.25">
      <c r="A36" s="42" t="s">
        <v>236</v>
      </c>
      <c r="B36" s="37"/>
      <c r="C36" s="37"/>
      <c r="D36" s="37"/>
      <c r="E36" s="37"/>
      <c r="F36" s="36"/>
      <c r="G36" s="13" t="s">
        <v>156</v>
      </c>
      <c r="H36" s="14" t="str">
        <f>IFERROR(MATCH("D2.IRG_Norm",#REF!,0),"")</f>
        <v/>
      </c>
      <c r="J36" s="40" t="s">
        <v>237</v>
      </c>
      <c r="K36" s="41"/>
    </row>
    <row r="37" spans="1:11" ht="24" x14ac:dyDescent="0.25">
      <c r="A37" s="7" t="s">
        <v>128</v>
      </c>
      <c r="B37" s="15" t="s">
        <v>158</v>
      </c>
      <c r="C37" s="15" t="str">
        <f>IFERROR(INDEX(#REF!,$H$36),"componente_1")</f>
        <v>componente_1</v>
      </c>
      <c r="D37" s="16" t="str">
        <f>IFERROR(INDEX(#REF!,$H$36),"")</f>
        <v/>
      </c>
      <c r="E37" s="17" t="s">
        <v>159</v>
      </c>
      <c r="F37" s="34" t="s">
        <v>238</v>
      </c>
      <c r="G37" s="18" t="str">
        <f>IFERROR("anno "&amp;INDEX(#REF!,$H$36),"")</f>
        <v/>
      </c>
      <c r="I37" s="6" t="s">
        <v>161</v>
      </c>
      <c r="J37" s="7" t="s">
        <v>239</v>
      </c>
      <c r="K37" s="7" t="s">
        <v>163</v>
      </c>
    </row>
    <row r="38" spans="1:11" ht="24" x14ac:dyDescent="0.25">
      <c r="A38" s="5"/>
      <c r="B38" s="15" t="s">
        <v>158</v>
      </c>
      <c r="C38" s="15" t="str">
        <f>IFERROR(INDEX(#REF!,$H$36),"componente_2")</f>
        <v>componente_2</v>
      </c>
      <c r="D38" s="16" t="str">
        <f>IFERROR(INDEX(#REF!,$H$36),"")</f>
        <v/>
      </c>
      <c r="E38" s="17" t="s">
        <v>164</v>
      </c>
      <c r="F38" s="34" t="s">
        <v>240</v>
      </c>
      <c r="G38" s="18" t="str">
        <f>IFERROR("anno "&amp;INDEX(#REF!,$H$36),"")</f>
        <v/>
      </c>
      <c r="I38" s="6" t="s">
        <v>161</v>
      </c>
      <c r="J38" s="7" t="s">
        <v>241</v>
      </c>
      <c r="K38" s="7" t="s">
        <v>167</v>
      </c>
    </row>
    <row r="39" spans="1:11" ht="24" x14ac:dyDescent="0.25">
      <c r="A39" s="5"/>
      <c r="B39" s="15" t="s">
        <v>158</v>
      </c>
      <c r="C39" s="19" t="str">
        <f>"IRG_Norm = "&amp;IFERROR(INDEX(#REF!,$H$36),"")</f>
        <v xml:space="preserve">IRG_Norm = </v>
      </c>
      <c r="D39" s="20" t="str">
        <f>IFERROR(INDEX(#REF!,$H$36),"")</f>
        <v/>
      </c>
      <c r="E39" s="17" t="s">
        <v>168</v>
      </c>
      <c r="F39" s="34" t="s">
        <v>242</v>
      </c>
      <c r="G39" s="18" t="str">
        <f>IFERROR(INDEX(#REF!,$H$36),"")</f>
        <v/>
      </c>
      <c r="I39" s="6" t="s">
        <v>161</v>
      </c>
      <c r="J39" s="7" t="s">
        <v>243</v>
      </c>
      <c r="K39" s="7" t="s">
        <v>171</v>
      </c>
    </row>
    <row r="40" spans="1:11" ht="25.5" x14ac:dyDescent="0.25">
      <c r="A40" s="5"/>
      <c r="B40" s="9" t="s">
        <v>172</v>
      </c>
      <c r="C40" s="9" t="s">
        <v>244</v>
      </c>
      <c r="D40" s="25" t="str">
        <f>IFERROR($D$37/$D$38,"")</f>
        <v/>
      </c>
      <c r="E40" s="21" t="s">
        <v>245</v>
      </c>
      <c r="F40" s="35" t="s">
        <v>174</v>
      </c>
      <c r="G40" s="5"/>
      <c r="I40" s="8" t="s">
        <v>179</v>
      </c>
      <c r="J40" s="7" t="s">
        <v>246</v>
      </c>
      <c r="K40" s="7" t="s">
        <v>247</v>
      </c>
    </row>
    <row r="41" spans="1:11" ht="24" x14ac:dyDescent="0.25">
      <c r="A41" s="5"/>
      <c r="B41" s="9" t="s">
        <v>172</v>
      </c>
      <c r="C41" s="9" t="s">
        <v>248</v>
      </c>
      <c r="D41" s="26" t="str">
        <f>IFERROR(INDEX(#REF!,$H$36),"")</f>
        <v/>
      </c>
      <c r="E41" s="21" t="s">
        <v>249</v>
      </c>
      <c r="F41" s="35" t="s">
        <v>174</v>
      </c>
      <c r="G41" s="5"/>
      <c r="I41" s="6" t="s">
        <v>161</v>
      </c>
      <c r="J41" s="7" t="s">
        <v>250</v>
      </c>
      <c r="K41" s="7" t="s">
        <v>251</v>
      </c>
    </row>
    <row r="42" spans="1:11" ht="25.5" x14ac:dyDescent="0.25">
      <c r="A42" s="5"/>
      <c r="B42" s="9" t="s">
        <v>172</v>
      </c>
      <c r="C42" s="11" t="s">
        <v>252</v>
      </c>
      <c r="D42" s="22" t="str">
        <f>IFERROR(MAX(1,ROUND(100*(MIN(1,MAX(0,$D$40/$D$41))),0))/100,"")</f>
        <v/>
      </c>
      <c r="E42" s="21" t="s">
        <v>177</v>
      </c>
      <c r="F42" s="18" t="s">
        <v>178</v>
      </c>
      <c r="G42" s="18" t="str">
        <f>IFERROR("formula_score: "&amp;INDEX(#REF!,$H$36),"")</f>
        <v/>
      </c>
      <c r="I42" s="8" t="s">
        <v>179</v>
      </c>
      <c r="J42" s="7" t="s">
        <v>180</v>
      </c>
      <c r="K42" s="7" t="s">
        <v>181</v>
      </c>
    </row>
    <row r="43" spans="1:11" ht="24" x14ac:dyDescent="0.25">
      <c r="A43" s="5"/>
      <c r="B43" s="9" t="s">
        <v>182</v>
      </c>
      <c r="C43" s="11" t="s">
        <v>253</v>
      </c>
      <c r="D43" s="22" t="str">
        <f>IFERROR(INDEX(#REF!,$H$36)/100,"")</f>
        <v/>
      </c>
      <c r="E43" s="21" t="s">
        <v>77</v>
      </c>
      <c r="F43" s="34" t="s">
        <v>254</v>
      </c>
      <c r="G43" s="18" t="s">
        <v>185</v>
      </c>
      <c r="I43" s="6" t="s">
        <v>161</v>
      </c>
      <c r="J43" s="7" t="s">
        <v>255</v>
      </c>
      <c r="K43" s="7" t="s">
        <v>187</v>
      </c>
    </row>
    <row r="44" spans="1:11" ht="24" x14ac:dyDescent="0.25">
      <c r="A44" s="5"/>
      <c r="B44" s="9" t="s">
        <v>138</v>
      </c>
      <c r="C44" s="11" t="s">
        <v>256</v>
      </c>
      <c r="D44" s="23" t="str">
        <f>IFERROR(""&amp;INDEX(#REF!,$H$36),"")</f>
        <v/>
      </c>
      <c r="E44" s="21" t="s">
        <v>189</v>
      </c>
      <c r="F44" s="34" t="s">
        <v>134</v>
      </c>
      <c r="G44" s="18" t="s">
        <v>190</v>
      </c>
      <c r="I44" s="6" t="s">
        <v>161</v>
      </c>
      <c r="J44" s="7" t="s">
        <v>257</v>
      </c>
      <c r="K44" s="7" t="s">
        <v>192</v>
      </c>
    </row>
    <row r="45" spans="1:11" ht="25.5" x14ac:dyDescent="0.25">
      <c r="A45" s="5"/>
      <c r="B45" s="5" t="s">
        <v>193</v>
      </c>
      <c r="C45" s="5" t="s">
        <v>194</v>
      </c>
      <c r="D45" s="24" t="str">
        <f>IF(OR($D$42="",$D$43=""),"in attesa",IF(ABS($D$42-$D$43)&lt;0.005,"OK","Δ "&amp;FIXED($D$42-$D$43,2)))</f>
        <v>in attesa</v>
      </c>
      <c r="E45" s="5"/>
      <c r="F45" s="18" t="s">
        <v>178</v>
      </c>
      <c r="G45" s="18" t="s">
        <v>195</v>
      </c>
      <c r="I45" s="8" t="s">
        <v>179</v>
      </c>
      <c r="J45" s="7" t="s">
        <v>196</v>
      </c>
      <c r="K45" s="7" t="s">
        <v>197</v>
      </c>
    </row>
    <row r="46" spans="1:11" ht="45.95" customHeight="1" x14ac:dyDescent="0.25">
      <c r="A46" s="5"/>
      <c r="B46" s="5" t="s">
        <v>198</v>
      </c>
      <c r="C46" s="43" t="str">
        <f>IF($D$43="","in attesa della risposta API",IFERROR(INDEX(#REF!,$H$36),"")&amp;" · Normalizzazione: "&amp;"IRG = "&amp;FIXED($D$40,3,TRUE)&amp;"; score = min(1; "&amp;FIXED($D$40,3,TRUE)&amp;" / "&amp;IF($D$41=INT($D$41),FIXED($D$41,0,TRUE),FIXED($D$41,1,TRUE))&amp;") con target "&amp;IF($D$41=INT($D$41),FIXED($D$41,0,TRUE),FIXED($D$41,1,TRUE))&amp;" "&amp;IFERROR(INDEX(#REF!,$H$36),"")&amp;" → IRG_Norm ("&amp;FIXED($D$43,2)&amp;")")</f>
        <v>in attesa della risposta API</v>
      </c>
      <c r="D46" s="37"/>
      <c r="E46" s="36"/>
      <c r="F46" s="34" t="s">
        <v>258</v>
      </c>
      <c r="I46" s="8" t="s">
        <v>179</v>
      </c>
      <c r="J46" s="7" t="s">
        <v>259</v>
      </c>
      <c r="K46" s="7" t="s">
        <v>201</v>
      </c>
    </row>
    <row r="48" spans="1:11" x14ac:dyDescent="0.25">
      <c r="A48" s="42" t="s">
        <v>260</v>
      </c>
      <c r="B48" s="37"/>
      <c r="C48" s="37"/>
      <c r="D48" s="37"/>
      <c r="E48" s="37"/>
      <c r="F48" s="36"/>
      <c r="G48" s="13" t="s">
        <v>156</v>
      </c>
      <c r="H48" s="14" t="str">
        <f>IFERROR(MATCH("D2.IGF",#REF!,0),"")</f>
        <v/>
      </c>
      <c r="J48" s="40" t="s">
        <v>261</v>
      </c>
      <c r="K48" s="41"/>
    </row>
    <row r="49" spans="1:11" ht="24" x14ac:dyDescent="0.25">
      <c r="A49" s="7" t="s">
        <v>130</v>
      </c>
      <c r="B49" s="15" t="s">
        <v>158</v>
      </c>
      <c r="C49" s="15" t="str">
        <f>IFERROR(INDEX(#REF!,$H$48),"componente_1")</f>
        <v>componente_1</v>
      </c>
      <c r="D49" s="16" t="str">
        <f>IFERROR(INDEX(#REF!,$H$48),"")</f>
        <v/>
      </c>
      <c r="E49" s="17" t="s">
        <v>159</v>
      </c>
      <c r="F49" s="34" t="s">
        <v>262</v>
      </c>
      <c r="G49" s="18" t="str">
        <f>IFERROR("anno "&amp;INDEX(#REF!,$H$48),"")</f>
        <v/>
      </c>
      <c r="I49" s="6" t="s">
        <v>161</v>
      </c>
      <c r="J49" s="7" t="s">
        <v>263</v>
      </c>
      <c r="K49" s="7" t="s">
        <v>163</v>
      </c>
    </row>
    <row r="50" spans="1:11" ht="24" x14ac:dyDescent="0.25">
      <c r="A50" s="5"/>
      <c r="B50" s="15" t="s">
        <v>158</v>
      </c>
      <c r="C50" s="15" t="str">
        <f>IFERROR(INDEX(#REF!,$H$48),"componente_2")</f>
        <v>componente_2</v>
      </c>
      <c r="D50" s="16" t="str">
        <f>IFERROR(INDEX(#REF!,$H$48),"")</f>
        <v/>
      </c>
      <c r="E50" s="17" t="s">
        <v>164</v>
      </c>
      <c r="F50" s="34" t="s">
        <v>264</v>
      </c>
      <c r="G50" s="18" t="str">
        <f>IFERROR("anno "&amp;INDEX(#REF!,$H$48),"")</f>
        <v/>
      </c>
      <c r="I50" s="6" t="s">
        <v>161</v>
      </c>
      <c r="J50" s="7" t="s">
        <v>265</v>
      </c>
      <c r="K50" s="7" t="s">
        <v>167</v>
      </c>
    </row>
    <row r="51" spans="1:11" ht="25.5" x14ac:dyDescent="0.25">
      <c r="A51" s="5"/>
      <c r="B51" s="15" t="s">
        <v>158</v>
      </c>
      <c r="C51" s="19" t="str">
        <f>"IGF = "&amp;IFERROR(INDEX(#REF!,$H$48),"")</f>
        <v xml:space="preserve">IGF = </v>
      </c>
      <c r="D51" s="20" t="str">
        <f>IFERROR(INDEX(#REF!,$H$48),"")</f>
        <v/>
      </c>
      <c r="E51" s="17" t="s">
        <v>168</v>
      </c>
      <c r="F51" s="34" t="s">
        <v>266</v>
      </c>
      <c r="G51" s="18" t="str">
        <f>IFERROR(INDEX(#REF!,$H$48),"")</f>
        <v/>
      </c>
      <c r="I51" s="6" t="s">
        <v>161</v>
      </c>
      <c r="J51" s="7" t="s">
        <v>267</v>
      </c>
      <c r="K51" s="7" t="s">
        <v>171</v>
      </c>
    </row>
    <row r="52" spans="1:11" ht="25.5" x14ac:dyDescent="0.25">
      <c r="A52" s="5"/>
      <c r="B52" s="9" t="s">
        <v>172</v>
      </c>
      <c r="C52" s="9" t="s">
        <v>268</v>
      </c>
      <c r="D52" s="27" t="str">
        <f>IFERROR(INDEX(#REF!,MATCH("D2.IRS",#REF!,0))/100,"")</f>
        <v/>
      </c>
      <c r="E52" s="21" t="s">
        <v>269</v>
      </c>
      <c r="F52" s="34" t="s">
        <v>270</v>
      </c>
      <c r="G52" s="5"/>
      <c r="I52" s="12" t="s">
        <v>271</v>
      </c>
      <c r="J52" s="7" t="s">
        <v>186</v>
      </c>
      <c r="K52" s="7" t="s">
        <v>272</v>
      </c>
    </row>
    <row r="53" spans="1:11" ht="25.5" x14ac:dyDescent="0.25">
      <c r="A53" s="5"/>
      <c r="B53" s="9" t="s">
        <v>172</v>
      </c>
      <c r="C53" s="9" t="s">
        <v>273</v>
      </c>
      <c r="D53" s="27" t="str">
        <f>IFERROR(INDEX(#REF!,MATCH("D2.IDP_Norm",#REF!,0))/100,"")</f>
        <v/>
      </c>
      <c r="E53" s="21" t="s">
        <v>274</v>
      </c>
      <c r="F53" s="34" t="s">
        <v>275</v>
      </c>
      <c r="G53" s="5"/>
      <c r="I53" s="12" t="s">
        <v>271</v>
      </c>
      <c r="J53" s="7" t="s">
        <v>214</v>
      </c>
      <c r="K53" s="7" t="s">
        <v>276</v>
      </c>
    </row>
    <row r="54" spans="1:11" ht="25.5" x14ac:dyDescent="0.25">
      <c r="A54" s="5"/>
      <c r="B54" s="9" t="s">
        <v>172</v>
      </c>
      <c r="C54" s="9" t="s">
        <v>277</v>
      </c>
      <c r="D54" s="27" t="str">
        <f>IFERROR(INDEX(#REF!,MATCH("D2.PTI",#REF!,0))/100,"")</f>
        <v/>
      </c>
      <c r="E54" s="21" t="s">
        <v>278</v>
      </c>
      <c r="F54" s="34" t="s">
        <v>279</v>
      </c>
      <c r="G54" s="5"/>
      <c r="I54" s="12" t="s">
        <v>271</v>
      </c>
      <c r="J54" s="7" t="s">
        <v>231</v>
      </c>
      <c r="K54" s="7" t="s">
        <v>280</v>
      </c>
    </row>
    <row r="55" spans="1:11" ht="25.5" x14ac:dyDescent="0.25">
      <c r="A55" s="5"/>
      <c r="B55" s="9" t="s">
        <v>172</v>
      </c>
      <c r="C55" s="9" t="s">
        <v>281</v>
      </c>
      <c r="D55" s="27" t="str">
        <f>IFERROR(INDEX(#REF!,MATCH("D2.IRG_Norm",#REF!,0))/100,"")</f>
        <v/>
      </c>
      <c r="E55" s="21" t="s">
        <v>282</v>
      </c>
      <c r="F55" s="34" t="s">
        <v>283</v>
      </c>
      <c r="G55" s="5"/>
      <c r="I55" s="12" t="s">
        <v>271</v>
      </c>
      <c r="J55" s="7" t="s">
        <v>255</v>
      </c>
      <c r="K55" s="7" t="s">
        <v>284</v>
      </c>
    </row>
    <row r="56" spans="1:11" ht="25.5" x14ac:dyDescent="0.25">
      <c r="A56" s="5"/>
      <c r="B56" s="9" t="s">
        <v>172</v>
      </c>
      <c r="C56" s="9" t="s">
        <v>285</v>
      </c>
      <c r="D56" s="27" t="str">
        <f>IFERROR(($D$52+$D$53)/2,"")</f>
        <v/>
      </c>
      <c r="E56" s="21" t="s">
        <v>286</v>
      </c>
      <c r="F56" s="35" t="s">
        <v>174</v>
      </c>
      <c r="G56" s="5"/>
      <c r="I56" s="8" t="s">
        <v>179</v>
      </c>
      <c r="J56" s="7" t="s">
        <v>287</v>
      </c>
      <c r="K56" s="7" t="s">
        <v>288</v>
      </c>
    </row>
    <row r="57" spans="1:11" ht="25.5" x14ac:dyDescent="0.25">
      <c r="A57" s="5"/>
      <c r="B57" s="9" t="s">
        <v>172</v>
      </c>
      <c r="C57" s="11" t="s">
        <v>289</v>
      </c>
      <c r="D57" s="22" t="str">
        <f>IFERROR(MAX(1,ROUND(100*(12/11*(($D$56)+$D$54+$D$55)/3),0))/100,"")</f>
        <v/>
      </c>
      <c r="E57" s="21" t="s">
        <v>177</v>
      </c>
      <c r="F57" s="18" t="s">
        <v>178</v>
      </c>
      <c r="G57" s="18" t="str">
        <f>IFERROR("formula_score: "&amp;INDEX(#REF!,$H$48),"")</f>
        <v/>
      </c>
      <c r="I57" s="8" t="s">
        <v>179</v>
      </c>
      <c r="J57" s="7" t="s">
        <v>180</v>
      </c>
      <c r="K57" s="7" t="s">
        <v>181</v>
      </c>
    </row>
    <row r="58" spans="1:11" ht="24" x14ac:dyDescent="0.25">
      <c r="A58" s="5"/>
      <c r="B58" s="9" t="s">
        <v>182</v>
      </c>
      <c r="C58" s="11" t="s">
        <v>290</v>
      </c>
      <c r="D58" s="22" t="str">
        <f>IFERROR(INDEX(#REF!,$H$48)/100,"")</f>
        <v/>
      </c>
      <c r="E58" s="21" t="s">
        <v>77</v>
      </c>
      <c r="F58" s="34" t="s">
        <v>291</v>
      </c>
      <c r="G58" s="18" t="s">
        <v>185</v>
      </c>
      <c r="I58" s="6" t="s">
        <v>161</v>
      </c>
      <c r="J58" s="7" t="s">
        <v>292</v>
      </c>
      <c r="K58" s="7" t="s">
        <v>187</v>
      </c>
    </row>
    <row r="59" spans="1:11" ht="24" x14ac:dyDescent="0.25">
      <c r="A59" s="5"/>
      <c r="B59" s="9" t="s">
        <v>138</v>
      </c>
      <c r="C59" s="11" t="s">
        <v>293</v>
      </c>
      <c r="D59" s="23" t="str">
        <f>IFERROR(""&amp;INDEX(#REF!,$H$48),"")</f>
        <v/>
      </c>
      <c r="E59" s="21" t="s">
        <v>189</v>
      </c>
      <c r="F59" s="34" t="s">
        <v>134</v>
      </c>
      <c r="G59" s="18" t="s">
        <v>190</v>
      </c>
      <c r="I59" s="6" t="s">
        <v>161</v>
      </c>
      <c r="J59" s="7" t="s">
        <v>294</v>
      </c>
      <c r="K59" s="7" t="s">
        <v>192</v>
      </c>
    </row>
    <row r="60" spans="1:11" ht="25.5" x14ac:dyDescent="0.25">
      <c r="A60" s="5"/>
      <c r="B60" s="5" t="s">
        <v>193</v>
      </c>
      <c r="C60" s="5" t="s">
        <v>194</v>
      </c>
      <c r="D60" s="24" t="str">
        <f>IF(OR($D$57="",$D$58=""),"in attesa",IF(ABS($D$57-$D$58)&lt;0.005,"OK","Δ "&amp;FIXED($D$57-$D$58,2)))</f>
        <v>in attesa</v>
      </c>
      <c r="E60" s="5"/>
      <c r="F60" s="18" t="s">
        <v>178</v>
      </c>
      <c r="G60" s="18" t="s">
        <v>295</v>
      </c>
      <c r="I60" s="8" t="s">
        <v>179</v>
      </c>
      <c r="J60" s="7" t="s">
        <v>196</v>
      </c>
      <c r="K60" s="7" t="s">
        <v>197</v>
      </c>
    </row>
    <row r="61" spans="1:11" ht="45.95" customHeight="1" x14ac:dyDescent="0.25">
      <c r="A61" s="5"/>
      <c r="B61" s="5" t="s">
        <v>198</v>
      </c>
      <c r="C61" s="43" t="str">
        <f>IF($D$58="","in attesa della risposta API",IFERROR(INDEX(#REF!,$H$48),"")&amp;" · Normalizzazione: "&amp;"score = stessa formula sugli score dei componenti: (("&amp;FIXED($D$52,2,TRUE)&amp;" + "&amp;FIXED($D$53,2,TRUE)&amp;") / 2 + "&amp;FIXED($D$54,2,TRUE)&amp;" + "&amp;FIXED($D$55,2,TRUE)&amp;") / 3 × 12/11"&amp;" → IGF ("&amp;FIXED($D$58,2)&amp;")")</f>
        <v>in attesa della risposta API</v>
      </c>
      <c r="D61" s="37"/>
      <c r="E61" s="36"/>
      <c r="F61" s="34" t="s">
        <v>79</v>
      </c>
      <c r="I61" s="8" t="s">
        <v>179</v>
      </c>
      <c r="J61" s="7" t="s">
        <v>296</v>
      </c>
      <c r="K61" s="7" t="s">
        <v>201</v>
      </c>
    </row>
  </sheetData>
  <mergeCells count="15">
    <mergeCell ref="C61:E61"/>
    <mergeCell ref="J25:K25"/>
    <mergeCell ref="A36:F36"/>
    <mergeCell ref="C12:E12"/>
    <mergeCell ref="J14:K14"/>
    <mergeCell ref="J36:K36"/>
    <mergeCell ref="A48:F48"/>
    <mergeCell ref="A25:F25"/>
    <mergeCell ref="C34:E34"/>
    <mergeCell ref="J3:K3"/>
    <mergeCell ref="J48:K48"/>
    <mergeCell ref="C46:E46"/>
    <mergeCell ref="A3:F3"/>
    <mergeCell ref="C23:E23"/>
    <mergeCell ref="A14:F14"/>
  </mergeCells>
  <conditionalFormatting sqref="D3:D63">
    <cfRule type="expression" dxfId="1" priority="1">
      <formula>D3="OK"</formula>
    </cfRule>
    <cfRule type="expression" dxfId="0" priority="2">
      <formula>LEFT(D3,1)="Δ"</formula>
    </cfRule>
  </conditionalFormatting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8"/>
  <sheetViews>
    <sheetView workbookViewId="0">
      <selection activeCell="B18" sqref="B18"/>
    </sheetView>
  </sheetViews>
  <sheetFormatPr defaultRowHeight="15" x14ac:dyDescent="0.25"/>
  <cols>
    <col min="1" max="1" width="14" customWidth="1"/>
    <col min="2" max="2" width="24" customWidth="1"/>
    <col min="3" max="3" width="32" customWidth="1"/>
    <col min="4" max="4" width="70" customWidth="1"/>
    <col min="5" max="6" width="46" customWidth="1"/>
    <col min="7" max="7" width="14" customWidth="1"/>
  </cols>
  <sheetData>
    <row r="1" spans="1:7" ht="16.5" x14ac:dyDescent="0.25">
      <c r="A1" s="1" t="s">
        <v>297</v>
      </c>
    </row>
    <row r="3" spans="1:7" ht="38.25" x14ac:dyDescent="0.25">
      <c r="A3" s="3" t="s">
        <v>117</v>
      </c>
      <c r="B3" s="3" t="s">
        <v>6</v>
      </c>
      <c r="C3" s="3" t="s">
        <v>118</v>
      </c>
      <c r="D3" s="3" t="s">
        <v>119</v>
      </c>
      <c r="E3" s="3" t="s">
        <v>298</v>
      </c>
      <c r="F3" s="3" t="s">
        <v>299</v>
      </c>
      <c r="G3" s="3" t="s">
        <v>300</v>
      </c>
    </row>
    <row r="4" spans="1:7" ht="30" customHeight="1" x14ac:dyDescent="0.25">
      <c r="A4" s="7" t="s">
        <v>121</v>
      </c>
      <c r="B4" s="5" t="s">
        <v>33</v>
      </c>
      <c r="C4" s="7" t="s">
        <v>122</v>
      </c>
      <c r="D4" s="7" t="s">
        <v>123</v>
      </c>
      <c r="E4" s="7" t="s">
        <v>121</v>
      </c>
      <c r="F4" s="7" t="s">
        <v>301</v>
      </c>
      <c r="G4" s="5" t="s">
        <v>30</v>
      </c>
    </row>
    <row r="5" spans="1:7" ht="30" customHeight="1" x14ac:dyDescent="0.25">
      <c r="A5" s="7" t="s">
        <v>124</v>
      </c>
      <c r="B5" s="5" t="s">
        <v>37</v>
      </c>
      <c r="C5" s="7" t="s">
        <v>122</v>
      </c>
      <c r="D5" s="7" t="s">
        <v>125</v>
      </c>
      <c r="E5" s="7" t="s">
        <v>124</v>
      </c>
      <c r="F5" s="7" t="s">
        <v>301</v>
      </c>
      <c r="G5" s="5" t="s">
        <v>30</v>
      </c>
    </row>
    <row r="6" spans="1:7" ht="30" customHeight="1" x14ac:dyDescent="0.25">
      <c r="A6" s="7" t="s">
        <v>126</v>
      </c>
      <c r="B6" s="5" t="s">
        <v>33</v>
      </c>
      <c r="C6" s="7" t="s">
        <v>122</v>
      </c>
      <c r="D6" s="7" t="s">
        <v>127</v>
      </c>
      <c r="E6" s="7" t="s">
        <v>126</v>
      </c>
      <c r="F6" s="7" t="s">
        <v>301</v>
      </c>
      <c r="G6" s="5" t="s">
        <v>30</v>
      </c>
    </row>
    <row r="7" spans="1:7" ht="30" customHeight="1" x14ac:dyDescent="0.25">
      <c r="A7" s="7" t="s">
        <v>128</v>
      </c>
      <c r="B7" s="5" t="s">
        <v>44</v>
      </c>
      <c r="C7" s="7" t="s">
        <v>122</v>
      </c>
      <c r="D7" s="7" t="s">
        <v>129</v>
      </c>
      <c r="E7" s="7" t="s">
        <v>128</v>
      </c>
      <c r="F7" s="7" t="s">
        <v>302</v>
      </c>
      <c r="G7" s="5" t="s">
        <v>34</v>
      </c>
    </row>
    <row r="8" spans="1:7" ht="30" customHeight="1" x14ac:dyDescent="0.25">
      <c r="A8" s="7" t="s">
        <v>130</v>
      </c>
      <c r="B8" s="5" t="s">
        <v>29</v>
      </c>
      <c r="C8" s="7" t="s">
        <v>122</v>
      </c>
      <c r="D8" s="7" t="s">
        <v>131</v>
      </c>
      <c r="E8" s="7" t="s">
        <v>132</v>
      </c>
      <c r="F8" s="7" t="s">
        <v>301</v>
      </c>
      <c r="G8" s="5" t="s">
        <v>34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Associazioni</vt:lpstr>
      <vt:lpstr>Scheda dettaglio</vt:lpstr>
      <vt:lpstr>Badge</vt:lpstr>
      <vt:lpstr>Scomposizione formula</vt:lpstr>
      <vt:lpstr>Chiamate scomposizione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Carrone</cp:lastModifiedBy>
  <dcterms:created xsi:type="dcterms:W3CDTF">2026-09-23T12:54:02Z</dcterms:created>
  <dcterms:modified xsi:type="dcterms:W3CDTF">2026-10-08T12:25:46Z</dcterms:modified>
</cp:coreProperties>
</file>